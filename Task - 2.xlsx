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el\Desktop\Neel Adani\Excel\"/>
    </mc:Choice>
  </mc:AlternateContent>
  <xr:revisionPtr revIDLastSave="0" documentId="13_ncr:1_{3C3BC67B-E4C4-460C-B5DA-DC7138E3370A}" xr6:coauthVersionLast="47" xr6:coauthVersionMax="47" xr10:uidLastSave="{00000000-0000-0000-0000-000000000000}"/>
  <bookViews>
    <workbookView xWindow="-108" yWindow="-108" windowWidth="23256" windowHeight="12456" activeTab="9" xr2:uid="{716BDA88-83D9-4B0A-9A01-B45703298D63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0" l="1"/>
  <c r="D8" i="10"/>
  <c r="D9" i="10"/>
  <c r="D6" i="10"/>
  <c r="C7" i="9"/>
  <c r="C8" i="9"/>
  <c r="C9" i="9"/>
  <c r="C6" i="9"/>
  <c r="C7" i="8"/>
  <c r="C8" i="8"/>
  <c r="C9" i="8"/>
  <c r="C6" i="8"/>
  <c r="D7" i="7"/>
  <c r="D8" i="7"/>
  <c r="D9" i="7"/>
  <c r="D6" i="7"/>
  <c r="D7" i="6"/>
  <c r="D8" i="6"/>
  <c r="D9" i="6"/>
  <c r="D6" i="6"/>
  <c r="D7" i="5"/>
  <c r="D8" i="5"/>
  <c r="D9" i="5"/>
  <c r="D6" i="5"/>
  <c r="D7" i="4"/>
  <c r="D8" i="4"/>
  <c r="D9" i="4"/>
  <c r="D6" i="4"/>
  <c r="C7" i="3"/>
  <c r="C8" i="3"/>
  <c r="C9" i="3"/>
  <c r="C10" i="3"/>
  <c r="C6" i="3"/>
  <c r="C7" i="2"/>
  <c r="C8" i="2"/>
  <c r="C9" i="2"/>
  <c r="C6" i="2"/>
  <c r="D6" i="1"/>
  <c r="D7" i="1"/>
  <c r="D8" i="1"/>
  <c r="D9" i="1"/>
  <c r="D10" i="1"/>
</calcChain>
</file>

<file path=xl/sharedStrings.xml><?xml version="1.0" encoding="utf-8"?>
<sst xmlns="http://schemas.openxmlformats.org/spreadsheetml/2006/main" count="121" uniqueCount="76">
  <si>
    <t>Task 1: Pass / Fail using IF</t>
  </si>
  <si>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</si>
  <si>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</si>
  <si>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</si>
  <si>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</si>
  <si>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</si>
  <si>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</si>
  <si>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</si>
  <si>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</si>
  <si>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</si>
  <si>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r>
      <rPr>
        <u/>
        <sz val="12"/>
        <color theme="1"/>
        <rFont val="Calibri"/>
        <family val="2"/>
        <scheme val="minor"/>
      </rPr>
      <t>Task</t>
    </r>
    <r>
      <rPr>
        <sz val="12"/>
        <color theme="1"/>
        <rFont val="Calibri"/>
        <family val="2"/>
        <scheme val="minor"/>
      </rPr>
      <t xml:space="preserve"> :</t>
    </r>
  </si>
  <si>
    <t>If Marks ≥ 40 → Pass</t>
  </si>
  <si>
    <t>Else → Fail</t>
  </si>
  <si>
    <t>Task 2: Salary Bonus Check (IF)</t>
  </si>
  <si>
    <t>Employee Name</t>
  </si>
  <si>
    <t>Salary</t>
  </si>
  <si>
    <t>Bonus Status</t>
  </si>
  <si>
    <t>Rohit</t>
  </si>
  <si>
    <t>Simran</t>
  </si>
  <si>
    <t>Vijay</t>
  </si>
  <si>
    <t>Nisha</t>
  </si>
  <si>
    <t>Salary ≥ 40000 → Bonus</t>
  </si>
  <si>
    <t>Else → No Bonus</t>
  </si>
  <si>
    <t>Task 3: Grade Calculation (Nested IF)</t>
  </si>
  <si>
    <t>Grade</t>
  </si>
  <si>
    <t>≥ 75 → A</t>
  </si>
  <si>
    <t>&lt;40 → Fail</t>
  </si>
  <si>
    <t>≥ 60 → B</t>
  </si>
  <si>
    <t>≥ 40 → C</t>
  </si>
  <si>
    <t>Task 4: Job Eligibility (AND)</t>
  </si>
  <si>
    <t>Name</t>
  </si>
  <si>
    <t>Age</t>
  </si>
  <si>
    <t>Experience (Years)</t>
  </si>
  <si>
    <t>Eligible</t>
  </si>
  <si>
    <t>Age ≥ 21 AND Experience ≥ 1 → Eligible</t>
  </si>
  <si>
    <r>
      <rPr>
        <u/>
        <sz val="12"/>
        <color theme="1"/>
        <rFont val="Calibri"/>
        <family val="2"/>
        <scheme val="minor"/>
      </rPr>
      <t>Task</t>
    </r>
    <r>
      <rPr>
        <sz val="12"/>
        <color theme="1"/>
        <rFont val="Calibri"/>
        <family val="2"/>
        <scheme val="minor"/>
      </rPr>
      <t xml:space="preserve"> :                                            </t>
    </r>
  </si>
  <si>
    <t>Task 5: Exam Eligibility (AND)</t>
  </si>
  <si>
    <t>Attendance %</t>
  </si>
  <si>
    <t>Assignment Submitted</t>
  </si>
  <si>
    <t>Yes</t>
  </si>
  <si>
    <t>No</t>
  </si>
  <si>
    <t>Attendance ≥ 75 AND Assignment = Yes</t>
  </si>
  <si>
    <t>Task 6: Discount Logic (OR)</t>
  </si>
  <si>
    <t>Customer Name</t>
  </si>
  <si>
    <t>Purchase Amount</t>
  </si>
  <si>
    <t>Membership</t>
  </si>
  <si>
    <t>Discount</t>
  </si>
  <si>
    <t>Aakash</t>
  </si>
  <si>
    <t>Bhavna</t>
  </si>
  <si>
    <t>Divya</t>
  </si>
  <si>
    <t>Purchase ≥ 10000 OR Membership = Yes</t>
  </si>
  <si>
    <t>Task 7: Loan Approval (OR)</t>
  </si>
  <si>
    <t>Applicant</t>
  </si>
  <si>
    <t>CIBIL Score</t>
  </si>
  <si>
    <t>Loan Status</t>
  </si>
  <si>
    <t>Salary ≥ 40000 OR CIBIL ≥ 700</t>
  </si>
  <si>
    <t>Task 8: Attendance Status (NOT)</t>
  </si>
  <si>
    <t>Present</t>
  </si>
  <si>
    <t>Status</t>
  </si>
  <si>
    <t>If NOT Present → Absent</t>
  </si>
  <si>
    <t>Else → Present</t>
  </si>
  <si>
    <t>Task 9: Safe Division (IFERROR)</t>
  </si>
  <si>
    <t>Number 1</t>
  </si>
  <si>
    <t>Number 2</t>
  </si>
  <si>
    <t>Divide Number 1 by Number 2</t>
  </si>
  <si>
    <t>If error → show "Invalid"</t>
  </si>
  <si>
    <t>Task 10: Performance Evaluation (Combined Logic)</t>
  </si>
  <si>
    <t>Targets Achieved</t>
  </si>
  <si>
    <t>Performance</t>
  </si>
  <si>
    <t>Raj</t>
  </si>
  <si>
    <t>Sunita</t>
  </si>
  <si>
    <t>Manoj</t>
  </si>
  <si>
    <t>Kavita</t>
  </si>
  <si>
    <t>Attendance ≥ 90 AND Targets ≥ 40 → Excellent</t>
  </si>
  <si>
    <t>Attendance ≥ 80 → Good</t>
  </si>
  <si>
    <t>Else → Needs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</si>
</sst>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sz val="10"/>
      <color rgb="FF1F2328"/>
      <name val="Segoe UI"/>
      <family val="2"/>
    </font>
    <font>
      <sz val="10"/>
      <color rgb="FF1F2328"/>
      <name val="Segoe UI"/>
      <family val="2"/>
    </font>
    <font>
      <b/>
      <sz val="10"/>
      <color rgb="FF1F2328"/>
      <name val="Segoe UI"/>
      <family val="2"/>
    </font>
    <font>
      <b/>
      <sz val="11"/>
      <color rgb="FF1F2328"/>
      <name val="Segoe UI"/>
      <family val="2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0"/>
      <color theme="0"/>
      <name val="Segoe UI"/>
      <family val="2"/>
    </font>
    <font>
      <sz val="10"/>
      <color theme="1"/>
      <name val="Segoe UI"/>
      <family val="2"/>
    </font>
    <font>
      <sz val="26"/>
      <color theme="1"/>
      <name val="Calibri"/>
      <family val="2"/>
      <scheme val="minor"/>
    </font>
    <font>
      <sz val="26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0"/>
      <color theme="0"/>
      <name val="Segoe UI"/>
      <family val="2"/>
    </font>
    <font>
      <sz val="26"/>
      <color theme="0"/>
      <name val="Calibri"/>
      <family val="2"/>
      <scheme val="minor"/>
    </font>
    <font>
      <sz val="26"/>
      <color theme="2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rgb="FF1F2328"/>
      <name val="Segoe UI"/>
      <family val="2"/>
    </font>
    <font>
      <sz val="11"/>
      <color theme="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7" fillId="3" borderId="1" xfId="0" applyFont="1" applyFill="1" applyBorder="1" applyAlignment="1">
      <alignment horizontal="left" vertical="center" wrapText="1" indent="1"/>
    </xf>
    <xf numFmtId="0" fontId="7" fillId="7" borderId="1" xfId="0" applyFont="1" applyFill="1" applyBorder="1" applyAlignment="1">
      <alignment horizontal="center" vertical="top" wrapText="1"/>
    </xf>
    <xf numFmtId="0" fontId="7" fillId="7" borderId="2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7" fillId="0" borderId="0" xfId="0" applyFont="1" applyAlignment="1">
      <alignment horizontal="left" vertical="center" wrapText="1" indent="1"/>
    </xf>
    <xf numFmtId="0" fontId="12" fillId="0" borderId="0" xfId="0" applyFont="1"/>
    <xf numFmtId="0" fontId="7" fillId="4" borderId="1" xfId="0" applyFont="1" applyFill="1" applyBorder="1" applyAlignment="1">
      <alignment horizontal="left" vertical="center" wrapText="1" indent="1"/>
    </xf>
    <xf numFmtId="0" fontId="7" fillId="7" borderId="3" xfId="0" applyFont="1" applyFill="1" applyBorder="1" applyAlignment="1">
      <alignment horizontal="center" vertical="top" wrapText="1"/>
    </xf>
    <xf numFmtId="0" fontId="7" fillId="7" borderId="4" xfId="0" applyFont="1" applyFill="1" applyBorder="1" applyAlignment="1">
      <alignment horizontal="left" vertical="center" wrapText="1" inden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top" wrapText="1"/>
    </xf>
    <xf numFmtId="0" fontId="7" fillId="7" borderId="9" xfId="0" applyFont="1" applyFill="1" applyBorder="1" applyAlignment="1">
      <alignment horizontal="left" vertical="center" wrapText="1" indent="1"/>
    </xf>
    <xf numFmtId="0" fontId="7" fillId="3" borderId="3" xfId="0" applyFont="1" applyFill="1" applyBorder="1" applyAlignment="1">
      <alignment horizontal="left" vertical="center" wrapText="1" indent="1"/>
    </xf>
    <xf numFmtId="0" fontId="7" fillId="4" borderId="3" xfId="0" applyFont="1" applyFill="1" applyBorder="1" applyAlignment="1">
      <alignment horizontal="left" vertical="center" wrapText="1" indent="1"/>
    </xf>
    <xf numFmtId="0" fontId="7" fillId="3" borderId="4" xfId="0" applyFont="1" applyFill="1" applyBorder="1" applyAlignment="1">
      <alignment horizontal="left" vertical="center" wrapText="1" indent="1"/>
    </xf>
    <xf numFmtId="0" fontId="15" fillId="9" borderId="5" xfId="0" applyFont="1" applyFill="1" applyBorder="1" applyAlignment="1">
      <alignment horizontal="center" vertical="center" wrapText="1"/>
    </xf>
    <xf numFmtId="0" fontId="15" fillId="9" borderId="6" xfId="0" applyFont="1" applyFill="1" applyBorder="1" applyAlignment="1">
      <alignment horizontal="center" vertical="center" wrapText="1"/>
    </xf>
    <xf numFmtId="0" fontId="15" fillId="9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 indent="1"/>
    </xf>
    <xf numFmtId="0" fontId="7" fillId="4" borderId="2" xfId="0" applyFont="1" applyFill="1" applyBorder="1" applyAlignment="1">
      <alignment horizontal="left" vertical="center" wrapText="1" indent="1"/>
    </xf>
    <xf numFmtId="0" fontId="7" fillId="3" borderId="9" xfId="0" applyFont="1" applyFill="1" applyBorder="1" applyAlignment="1">
      <alignment horizontal="left" vertical="center" wrapText="1" indent="1"/>
    </xf>
    <xf numFmtId="0" fontId="7" fillId="13" borderId="1" xfId="0" applyFont="1" applyFill="1" applyBorder="1" applyAlignment="1">
      <alignment horizontal="left" vertical="center" wrapText="1" indent="1"/>
    </xf>
    <xf numFmtId="0" fontId="7" fillId="13" borderId="3" xfId="0" applyFont="1" applyFill="1" applyBorder="1" applyAlignment="1">
      <alignment horizontal="left" vertical="center" wrapText="1" indent="1"/>
    </xf>
    <xf numFmtId="0" fontId="7" fillId="13" borderId="4" xfId="0" applyFont="1" applyFill="1" applyBorder="1" applyAlignment="1">
      <alignment horizontal="left" vertical="center" wrapText="1" indent="1"/>
    </xf>
    <xf numFmtId="0" fontId="6" fillId="12" borderId="5" xfId="0" applyFont="1" applyFill="1" applyBorder="1" applyAlignment="1">
      <alignment horizontal="center" vertical="center" wrapText="1"/>
    </xf>
    <xf numFmtId="0" fontId="6" fillId="12" borderId="6" xfId="0" applyFont="1" applyFill="1" applyBorder="1" applyAlignment="1">
      <alignment horizontal="center" vertical="center" wrapText="1"/>
    </xf>
    <xf numFmtId="0" fontId="6" fillId="12" borderId="7" xfId="0" applyFont="1" applyFill="1" applyBorder="1" applyAlignment="1">
      <alignment horizontal="center" vertical="center" wrapText="1"/>
    </xf>
    <xf numFmtId="0" fontId="7" fillId="13" borderId="8" xfId="0" applyFont="1" applyFill="1" applyBorder="1" applyAlignment="1">
      <alignment horizontal="left" vertical="center" wrapText="1" indent="1"/>
    </xf>
    <xf numFmtId="0" fontId="7" fillId="13" borderId="2" xfId="0" applyFont="1" applyFill="1" applyBorder="1" applyAlignment="1">
      <alignment horizontal="left" vertical="center" wrapText="1" indent="1"/>
    </xf>
    <xf numFmtId="0" fontId="10" fillId="5" borderId="0" xfId="0" applyFont="1" applyFill="1"/>
    <xf numFmtId="0" fontId="0" fillId="5" borderId="0" xfId="0" applyFill="1"/>
    <xf numFmtId="0" fontId="10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10" fillId="10" borderId="0" xfId="0" applyFont="1" applyFill="1" applyAlignment="1">
      <alignment horizontal="left"/>
    </xf>
    <xf numFmtId="0" fontId="0" fillId="10" borderId="0" xfId="0" applyFill="1" applyAlignment="1">
      <alignment horizontal="left"/>
    </xf>
    <xf numFmtId="0" fontId="7" fillId="15" borderId="1" xfId="0" applyFont="1" applyFill="1" applyBorder="1" applyAlignment="1">
      <alignment horizontal="left" vertical="center" wrapText="1" indent="1"/>
    </xf>
    <xf numFmtId="0" fontId="4" fillId="14" borderId="1" xfId="0" applyFon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13" fillId="11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14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18" fillId="11" borderId="1" xfId="0" applyFont="1" applyFill="1" applyBorder="1" applyAlignment="1">
      <alignment horizontal="center"/>
    </xf>
    <xf numFmtId="0" fontId="19" fillId="11" borderId="1" xfId="0" applyFont="1" applyFill="1" applyBorder="1" applyAlignment="1">
      <alignment horizontal="center"/>
    </xf>
    <xf numFmtId="0" fontId="6" fillId="15" borderId="3" xfId="0" applyFont="1" applyFill="1" applyBorder="1" applyAlignment="1">
      <alignment horizontal="left" vertical="center" wrapText="1" indent="1"/>
    </xf>
    <xf numFmtId="0" fontId="7" fillId="15" borderId="3" xfId="0" applyFont="1" applyFill="1" applyBorder="1" applyAlignment="1">
      <alignment horizontal="left" vertical="center" wrapText="1" indent="1"/>
    </xf>
    <xf numFmtId="0" fontId="7" fillId="15" borderId="4" xfId="0" applyFont="1" applyFill="1" applyBorder="1" applyAlignment="1">
      <alignment horizontal="left" vertical="center" wrapText="1" indent="1"/>
    </xf>
    <xf numFmtId="0" fontId="8" fillId="10" borderId="5" xfId="0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 wrapText="1"/>
    </xf>
    <xf numFmtId="0" fontId="7" fillId="15" borderId="8" xfId="0" applyFont="1" applyFill="1" applyBorder="1" applyAlignment="1">
      <alignment horizontal="left" vertical="center" wrapText="1" indent="1"/>
    </xf>
    <xf numFmtId="0" fontId="7" fillId="15" borderId="2" xfId="0" applyFont="1" applyFill="1" applyBorder="1" applyAlignment="1">
      <alignment horizontal="left" vertical="center" wrapText="1" indent="1"/>
    </xf>
    <xf numFmtId="0" fontId="7" fillId="15" borderId="9" xfId="0" applyFont="1" applyFill="1" applyBorder="1" applyAlignment="1">
      <alignment horizontal="left" vertical="center" wrapText="1" indent="1"/>
    </xf>
    <xf numFmtId="0" fontId="0" fillId="0" borderId="0" xfId="0" applyAlignment="1"/>
    <xf numFmtId="0" fontId="10" fillId="15" borderId="0" xfId="0" applyFont="1" applyFill="1"/>
    <xf numFmtId="0" fontId="0" fillId="15" borderId="0" xfId="0" applyFill="1"/>
    <xf numFmtId="0" fontId="21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left" vertical="center" wrapText="1" indent="1"/>
    </xf>
    <xf numFmtId="0" fontId="6" fillId="13" borderId="3" xfId="0" applyFont="1" applyFill="1" applyBorder="1" applyAlignment="1">
      <alignment horizontal="left" vertical="center" wrapText="1" indent="1"/>
    </xf>
    <xf numFmtId="0" fontId="6" fillId="13" borderId="4" xfId="0" applyFont="1" applyFill="1" applyBorder="1" applyAlignment="1">
      <alignment horizontal="left" vertical="center" wrapText="1" indent="1"/>
    </xf>
    <xf numFmtId="0" fontId="20" fillId="2" borderId="5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6" fillId="13" borderId="8" xfId="0" applyFont="1" applyFill="1" applyBorder="1" applyAlignment="1">
      <alignment horizontal="left" vertical="center" wrapText="1" indent="1"/>
    </xf>
    <xf numFmtId="0" fontId="6" fillId="13" borderId="2" xfId="0" applyFont="1" applyFill="1" applyBorder="1" applyAlignment="1">
      <alignment horizontal="left" vertical="center" wrapText="1" indent="1"/>
    </xf>
    <xf numFmtId="0" fontId="6" fillId="13" borderId="9" xfId="0" applyFont="1" applyFill="1" applyBorder="1" applyAlignment="1">
      <alignment horizontal="left" vertical="center" wrapText="1" indent="1"/>
    </xf>
    <xf numFmtId="0" fontId="6" fillId="7" borderId="1" xfId="0" applyFont="1" applyFill="1" applyBorder="1" applyAlignment="1">
      <alignment horizontal="left" vertical="center" wrapText="1" indent="1"/>
    </xf>
    <xf numFmtId="0" fontId="6" fillId="7" borderId="3" xfId="0" applyFont="1" applyFill="1" applyBorder="1" applyAlignment="1">
      <alignment horizontal="left" vertical="center" wrapText="1" indent="1"/>
    </xf>
    <xf numFmtId="0" fontId="6" fillId="7" borderId="4" xfId="0" applyFont="1" applyFill="1" applyBorder="1" applyAlignment="1">
      <alignment horizontal="left" vertical="center" wrapText="1" indent="1"/>
    </xf>
    <xf numFmtId="0" fontId="20" fillId="16" borderId="5" xfId="0" applyFont="1" applyFill="1" applyBorder="1" applyAlignment="1">
      <alignment horizontal="center" vertical="center" wrapText="1"/>
    </xf>
    <xf numFmtId="0" fontId="20" fillId="16" borderId="6" xfId="0" applyFont="1" applyFill="1" applyBorder="1" applyAlignment="1">
      <alignment horizontal="center" vertical="center" wrapText="1"/>
    </xf>
    <xf numFmtId="0" fontId="20" fillId="16" borderId="7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left" vertical="center" wrapText="1" indent="1"/>
    </xf>
    <xf numFmtId="0" fontId="6" fillId="7" borderId="2" xfId="0" applyFont="1" applyFill="1" applyBorder="1" applyAlignment="1">
      <alignment horizontal="left" vertical="center" wrapText="1" indent="1"/>
    </xf>
    <xf numFmtId="0" fontId="0" fillId="0" borderId="10" xfId="0" applyBorder="1" applyAlignment="1"/>
    <xf numFmtId="0" fontId="22" fillId="17" borderId="1" xfId="0" applyFont="1" applyFill="1" applyBorder="1" applyAlignment="1">
      <alignment horizontal="center"/>
    </xf>
    <xf numFmtId="0" fontId="23" fillId="17" borderId="1" xfId="0" applyFont="1" applyFill="1" applyBorder="1" applyAlignment="1">
      <alignment horizontal="center"/>
    </xf>
    <xf numFmtId="0" fontId="6" fillId="18" borderId="3" xfId="0" applyFont="1" applyFill="1" applyBorder="1" applyAlignment="1">
      <alignment horizontal="left" vertical="center" wrapText="1" indent="1"/>
    </xf>
    <xf numFmtId="0" fontId="6" fillId="18" borderId="1" xfId="0" applyFont="1" applyFill="1" applyBorder="1" applyAlignment="1">
      <alignment horizontal="left" vertical="center" wrapText="1" indent="1"/>
    </xf>
    <xf numFmtId="0" fontId="6" fillId="18" borderId="4" xfId="0" applyFont="1" applyFill="1" applyBorder="1" applyAlignment="1">
      <alignment horizontal="left" vertical="center" wrapText="1" indent="1"/>
    </xf>
    <xf numFmtId="0" fontId="6" fillId="18" borderId="8" xfId="0" applyFont="1" applyFill="1" applyBorder="1" applyAlignment="1">
      <alignment horizontal="left" vertical="center" wrapText="1" indent="1"/>
    </xf>
    <xf numFmtId="0" fontId="6" fillId="18" borderId="2" xfId="0" applyFont="1" applyFill="1" applyBorder="1" applyAlignment="1">
      <alignment horizontal="left" vertical="center" wrapText="1" indent="1"/>
    </xf>
    <xf numFmtId="0" fontId="6" fillId="18" borderId="9" xfId="0" applyFont="1" applyFill="1" applyBorder="1" applyAlignment="1">
      <alignment horizontal="left" vertical="center" wrapText="1" indent="1"/>
    </xf>
    <xf numFmtId="0" fontId="24" fillId="11" borderId="5" xfId="0" applyFont="1" applyFill="1" applyBorder="1" applyAlignment="1">
      <alignment horizontal="center" vertical="center" wrapText="1"/>
    </xf>
    <xf numFmtId="0" fontId="24" fillId="11" borderId="6" xfId="0" applyFont="1" applyFill="1" applyBorder="1" applyAlignment="1">
      <alignment horizontal="center" vertical="center" wrapText="1"/>
    </xf>
    <xf numFmtId="0" fontId="24" fillId="11" borderId="7" xfId="0" applyFont="1" applyFill="1" applyBorder="1" applyAlignment="1">
      <alignment horizontal="center" vertical="center" wrapText="1"/>
    </xf>
    <xf numFmtId="0" fontId="17" fillId="19" borderId="1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16" fillId="13" borderId="1" xfId="0" applyFont="1" applyFill="1" applyBorder="1" applyAlignment="1">
      <alignment horizontal="left" vertical="center" wrapText="1" indent="1"/>
    </xf>
    <xf numFmtId="0" fontId="0" fillId="15" borderId="0" xfId="0" applyFill="1" applyAlignment="1">
      <alignment horizontal="left"/>
    </xf>
    <xf numFmtId="0" fontId="16" fillId="13" borderId="3" xfId="0" applyFont="1" applyFill="1" applyBorder="1" applyAlignment="1">
      <alignment horizontal="left" vertical="center" wrapText="1" indent="1"/>
    </xf>
    <xf numFmtId="0" fontId="16" fillId="13" borderId="4" xfId="0" applyFont="1" applyFill="1" applyBorder="1" applyAlignment="1">
      <alignment horizontal="left" vertical="center" wrapText="1" indent="1"/>
    </xf>
    <xf numFmtId="0" fontId="24" fillId="12" borderId="5" xfId="0" applyFont="1" applyFill="1" applyBorder="1" applyAlignment="1">
      <alignment horizontal="center" vertical="center" wrapText="1"/>
    </xf>
    <xf numFmtId="0" fontId="24" fillId="12" borderId="6" xfId="0" applyFont="1" applyFill="1" applyBorder="1" applyAlignment="1">
      <alignment horizontal="center" vertical="center" wrapText="1"/>
    </xf>
    <xf numFmtId="0" fontId="24" fillId="12" borderId="7" xfId="0" applyFont="1" applyFill="1" applyBorder="1" applyAlignment="1">
      <alignment horizontal="center" vertical="center" wrapText="1"/>
    </xf>
    <xf numFmtId="0" fontId="16" fillId="13" borderId="8" xfId="0" applyFont="1" applyFill="1" applyBorder="1" applyAlignment="1">
      <alignment horizontal="left" vertical="center" wrapText="1" indent="1"/>
    </xf>
    <xf numFmtId="0" fontId="16" fillId="13" borderId="2" xfId="0" applyFont="1" applyFill="1" applyBorder="1" applyAlignment="1">
      <alignment horizontal="left" vertical="center" wrapText="1" indent="1"/>
    </xf>
    <xf numFmtId="0" fontId="16" fillId="13" borderId="9" xfId="0" applyFont="1" applyFill="1" applyBorder="1" applyAlignment="1">
      <alignment horizontal="left" vertical="center" wrapText="1" indent="1"/>
    </xf>
    <xf numFmtId="0" fontId="17" fillId="10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6" fillId="20" borderId="3" xfId="0" applyFont="1" applyFill="1" applyBorder="1" applyAlignment="1">
      <alignment horizontal="left" vertical="center" wrapText="1" indent="1"/>
    </xf>
    <xf numFmtId="0" fontId="16" fillId="20" borderId="1" xfId="0" applyFont="1" applyFill="1" applyBorder="1" applyAlignment="1">
      <alignment horizontal="left" vertical="center" wrapText="1" indent="1"/>
    </xf>
    <xf numFmtId="0" fontId="16" fillId="20" borderId="4" xfId="0" applyFont="1" applyFill="1" applyBorder="1" applyAlignment="1">
      <alignment horizontal="left" vertical="center" wrapText="1" indent="1"/>
    </xf>
    <xf numFmtId="0" fontId="16" fillId="20" borderId="8" xfId="0" applyFont="1" applyFill="1" applyBorder="1" applyAlignment="1">
      <alignment horizontal="left" vertical="center" wrapText="1" indent="1"/>
    </xf>
    <xf numFmtId="0" fontId="16" fillId="20" borderId="2" xfId="0" applyFont="1" applyFill="1" applyBorder="1" applyAlignment="1">
      <alignment horizontal="left" vertical="center" wrapText="1" indent="1"/>
    </xf>
    <xf numFmtId="0" fontId="16" fillId="20" borderId="9" xfId="0" applyFont="1" applyFill="1" applyBorder="1" applyAlignment="1">
      <alignment horizontal="left" vertical="center" wrapText="1" indent="1"/>
    </xf>
    <xf numFmtId="0" fontId="25" fillId="5" borderId="5" xfId="0" applyFont="1" applyFill="1" applyBorder="1" applyAlignment="1">
      <alignment horizontal="center" vertical="center" wrapText="1"/>
    </xf>
    <xf numFmtId="0" fontId="25" fillId="5" borderId="6" xfId="0" applyFont="1" applyFill="1" applyBorder="1" applyAlignment="1">
      <alignment horizontal="center" vertical="center" wrapText="1"/>
    </xf>
    <xf numFmtId="0" fontId="25" fillId="5" borderId="7" xfId="0" applyFont="1" applyFill="1" applyBorder="1" applyAlignment="1">
      <alignment horizontal="center" vertical="center" wrapText="1"/>
    </xf>
    <xf numFmtId="0" fontId="10" fillId="21" borderId="0" xfId="0" applyFont="1" applyFill="1"/>
    <xf numFmtId="0" fontId="0" fillId="21" borderId="0" xfId="0" applyFill="1"/>
    <xf numFmtId="0" fontId="0" fillId="21" borderId="0" xfId="0" applyFill="1" applyAlignment="1">
      <alignment horizontal="left"/>
    </xf>
    <xf numFmtId="0" fontId="4" fillId="11" borderId="1" xfId="0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egoe UI"/>
        <family val="2"/>
        <scheme val="none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3" tint="0.79998168889431442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Segoe UI"/>
        <family val="2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Segoe U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egoe UI"/>
        <family val="2"/>
        <scheme val="none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egoe UI"/>
        <family val="2"/>
        <scheme val="none"/>
      </font>
      <fill>
        <patternFill patternType="solid">
          <fgColor indexed="64"/>
          <bgColor theme="3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center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Segoe UI"/>
        <family val="2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Segoe UI"/>
        <family val="2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689C2C-7A7D-42A6-83C0-795DC5F7C03C}" name="Table1" displayName="Table1" ref="A5:D10" totalsRowShown="0" headerRowDxfId="68" headerRowBorderDxfId="67" tableBorderDxfId="66" totalsRowBorderDxfId="65">
  <autoFilter ref="A5:D10" xr:uid="{CE689C2C-7A7D-42A6-83C0-795DC5F7C03C}"/>
  <tableColumns count="4">
    <tableColumn id="1" xr3:uid="{5CADE113-67D6-4FFE-AFA5-A3E196EE8F49}" name="Roll No" dataDxfId="64"/>
    <tableColumn id="2" xr3:uid="{8D556904-FF34-4D87-898E-8D018B131295}" name="Student Name" dataDxfId="63"/>
    <tableColumn id="3" xr3:uid="{1F5366FD-0DEA-43F5-9307-857ADA6FC9A5}" name="Marks" dataDxfId="62"/>
    <tableColumn id="4" xr3:uid="{C6709A36-6748-40FE-BA89-35A04E902D84}" name="Result" dataDxfId="61">
      <calculatedColumnFormula>IF(C6&gt;=40,"Pass","Fail")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34941C-06D1-4DC0-B0B6-DDF614246CA3}" name="Table2" displayName="Table2" ref="A5:C9" totalsRowShown="0" headerRowDxfId="60" headerRowBorderDxfId="59" tableBorderDxfId="58" totalsRowBorderDxfId="57">
  <autoFilter ref="A5:C9" xr:uid="{9434941C-06D1-4DC0-B0B6-DDF614246CA3}"/>
  <tableColumns count="3">
    <tableColumn id="1" xr3:uid="{3755FF3A-3F76-41BF-8737-5170628DE34C}" name="Employee Name"/>
    <tableColumn id="2" xr3:uid="{0561C335-6B9F-4934-940A-2ED59D69CAAD}" name="Salary"/>
    <tableColumn id="3" xr3:uid="{9D03F7FF-16CC-4672-855F-798E35EB0AE1}" name="Bonus Status" dataDxfId="56">
      <calculatedColumnFormula>IF(B6&gt;=40000,"Bonus","No Bonus")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9D03B7-C23D-4874-91B8-3DAD07EB45FB}" name="Table3" displayName="Table3" ref="A5:C10" totalsRowShown="0" headerRowDxfId="75" headerRowBorderDxfId="74" tableBorderDxfId="73" totalsRowBorderDxfId="72">
  <autoFilter ref="A5:C10" xr:uid="{F99D03B7-C23D-4874-91B8-3DAD07EB45FB}"/>
  <tableColumns count="3">
    <tableColumn id="1" xr3:uid="{50947DBA-A226-4107-A112-2F6E9D5E74F7}" name="Student Name" dataDxfId="71"/>
    <tableColumn id="2" xr3:uid="{C6CEE2F0-A7F7-43B0-A562-671EC11DEC69}" name="Marks" dataDxfId="70"/>
    <tableColumn id="3" xr3:uid="{146BA15D-DC04-49E6-88C0-595E0F68BF2D}" name="Grade" dataDxfId="69">
      <calculatedColumnFormula>IF(B6&gt;=75,"A",IF(B6&gt;=60,"B",IF(B6&gt;=40,"C","Fail")))</calculatedColumnFormula>
    </tableColumn>
  </tableColumns>
  <tableStyleInfo name="TableStyleLight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A6D0D9-CCAD-40FC-AC6A-17B9DE721D93}" name="Table4" displayName="Table4" ref="A5:D9" totalsRowShown="0" headerRowDxfId="48" headerRowBorderDxfId="54" tableBorderDxfId="55" totalsRowBorderDxfId="53">
  <autoFilter ref="A5:D9" xr:uid="{61A6D0D9-CCAD-40FC-AC6A-17B9DE721D93}"/>
  <tableColumns count="4">
    <tableColumn id="1" xr3:uid="{4DDFCC37-0F85-4EE7-A667-C482D307FCC8}" name="Name" dataDxfId="52"/>
    <tableColumn id="2" xr3:uid="{6CD89D89-B564-4941-9DFA-CFE0C6840315}" name="Age" dataDxfId="51"/>
    <tableColumn id="3" xr3:uid="{78DC9BB5-73A0-441B-986C-E9ED789766BD}" name="Experience (Years)" dataDxfId="50"/>
    <tableColumn id="4" xr3:uid="{65DC837C-FB08-4775-BDB4-28723CC32CB6}" name="Eligible" dataDxfId="49">
      <calculatedColumnFormula>IF(AND(B6&gt;=21,C6&gt;=1),"Eligible","Not Eligible")</calculatedColumnFormula>
    </tableColumn>
  </tableColumns>
  <tableStyleInfo name="TableStyleLight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8734520-AE27-4A96-B7EB-3D6A3A005C9A}" name="Table5" displayName="Table5" ref="A5:D9" totalsRowShown="0" headerRowDxfId="40" headerRowBorderDxfId="46" tableBorderDxfId="47" totalsRowBorderDxfId="45">
  <autoFilter ref="A5:D9" xr:uid="{48734520-AE27-4A96-B7EB-3D6A3A005C9A}"/>
  <tableColumns count="4">
    <tableColumn id="1" xr3:uid="{69F459A3-6032-4130-8938-FCCCE335F0C2}" name="Student Name" dataDxfId="44"/>
    <tableColumn id="2" xr3:uid="{EDD4F581-65CE-4231-B215-9A00006AAC90}" name="Attendance %" dataDxfId="43"/>
    <tableColumn id="3" xr3:uid="{B5669754-B2BE-48DA-8C18-4B19148CE164}" name="Assignment Submitted" dataDxfId="42"/>
    <tableColumn id="4" xr3:uid="{369A738F-9E51-4FB6-BF96-55AF7A2F2E2A}" name="Eligible" dataDxfId="41">
      <calculatedColumnFormula>IF(AND(B6&gt;=75,C6="Yes"),"Eligible","Not Eligible")</calculatedColumnFormula>
    </tableColumn>
  </tableColumns>
  <tableStyleInfo name="TableStyleLight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4C093FB-C2C4-4030-8D0E-3DF11577CB16}" name="Table6" displayName="Table6" ref="A5:D9" totalsRowShown="0" headerRowDxfId="32" headerRowBorderDxfId="38" tableBorderDxfId="39" totalsRowBorderDxfId="37">
  <autoFilter ref="A5:D9" xr:uid="{44C093FB-C2C4-4030-8D0E-3DF11577CB16}"/>
  <tableColumns count="4">
    <tableColumn id="1" xr3:uid="{F4C83950-1190-4190-854F-A50D5537B882}" name="Customer Name" dataDxfId="36"/>
    <tableColumn id="2" xr3:uid="{A44536F5-AE48-4D10-A3E9-8B35A4F2934B}" name="Purchase Amount" dataDxfId="35"/>
    <tableColumn id="3" xr3:uid="{D5C0C270-FDB2-48D4-972B-B97EE1CBCF90}" name="Membership" dataDxfId="34"/>
    <tableColumn id="4" xr3:uid="{A45523E5-039B-4933-8815-3FB3DA74B3DB}" name="Discount" dataDxfId="33">
      <calculatedColumnFormula>IF(OR(B6&gt;=10000,C6="Yes"),"Discount","No Discount")</calculatedColumnFormula>
    </tableColumn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AC8A036-5C5D-4468-BF8D-B69188AD13C2}" name="Table8" displayName="Table8" ref="A5:D9" totalsRowShown="0" headerRowDxfId="24" headerRowBorderDxfId="30" tableBorderDxfId="31" totalsRowBorderDxfId="29">
  <autoFilter ref="A5:D9" xr:uid="{BAC8A036-5C5D-4468-BF8D-B69188AD13C2}"/>
  <tableColumns count="4">
    <tableColumn id="1" xr3:uid="{60B40164-D7A0-4137-809A-5BEE47C76B0C}" name="Applicant" dataDxfId="28"/>
    <tableColumn id="2" xr3:uid="{D43B1AF7-CBAF-4C4C-97B9-EA1867918824}" name="Salary" dataDxfId="27"/>
    <tableColumn id="3" xr3:uid="{285494D5-DCF4-448A-821C-EBFC08002339}" name="CIBIL Score" dataDxfId="26"/>
    <tableColumn id="4" xr3:uid="{7DBAF731-21AD-4BF9-A37D-A07EC02BE116}" name="Loan Status" dataDxfId="25">
      <calculatedColumnFormula>IF(OR(B6&gt;=40000,C6&gt;=700),"Loan Approval","Not Approval")</calculatedColumnFormula>
    </tableColumn>
  </tableColumns>
  <tableStyleInfo name="TableStyleLight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13A5860-BB4C-4679-84DB-F389915FBEE2}" name="Table9" displayName="Table9" ref="A5:C9" totalsRowShown="0" headerRowDxfId="20" dataDxfId="16" headerRowBorderDxfId="22" tableBorderDxfId="23" totalsRowBorderDxfId="21">
  <autoFilter ref="A5:C9" xr:uid="{613A5860-BB4C-4679-84DB-F389915FBEE2}"/>
  <tableColumns count="3">
    <tableColumn id="1" xr3:uid="{4D1E3B16-EB7B-4D1F-B043-4B1FD496FA38}" name="Name" dataDxfId="19"/>
    <tableColumn id="2" xr3:uid="{D9BACFFD-AC03-4285-B089-14147F5CBE41}" name="Present" dataDxfId="18"/>
    <tableColumn id="3" xr3:uid="{F5C47959-CC87-484D-B396-93202630FA6B}" name="Status" dataDxfId="17">
      <calculatedColumnFormula>IF(NOT(B6),"Present","Absent")</calculatedColumnFormula>
    </tableColumn>
  </tableColumns>
  <tableStyleInfo name="TableStyleLight1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7EC2012-55B9-47CF-9EE8-3EEA06604991}" name="Table10" displayName="Table10" ref="A5:C9" totalsRowShown="0" headerRowDxfId="8" dataDxfId="9" headerRowBorderDxfId="14" tableBorderDxfId="15" totalsRowBorderDxfId="13">
  <autoFilter ref="A5:C9" xr:uid="{27EC2012-55B9-47CF-9EE8-3EEA06604991}"/>
  <tableColumns count="3">
    <tableColumn id="1" xr3:uid="{F725C0F5-D662-47C3-8800-2E8F7E44D0E8}" name="Number 1" dataDxfId="12"/>
    <tableColumn id="2" xr3:uid="{AD4DE583-2EE3-4F89-8A7E-1D9D6082A497}" name="Number 2" dataDxfId="11"/>
    <tableColumn id="3" xr3:uid="{97E2A900-DCCA-4C79-BA34-1A8F36D2622C}" name="Result" dataDxfId="10">
      <calculatedColumnFormula>IFERROR(A6/B6,"Invalid")</calculatedColumnFormula>
    </tableColumn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C84DAC0-8FD9-4A22-BBC5-F62B669C8579}" name="Table11" displayName="Table11" ref="A5:D9" totalsRowShown="0" headerRowDxfId="1" headerRowBorderDxfId="6" tableBorderDxfId="7" totalsRowBorderDxfId="5">
  <autoFilter ref="A5:D9" xr:uid="{1C84DAC0-8FD9-4A22-BBC5-F62B669C8579}"/>
  <tableColumns count="4">
    <tableColumn id="1" xr3:uid="{79623B53-97B5-4A15-A093-4B87F34211A3}" name="Employee Name" dataDxfId="4"/>
    <tableColumn id="2" xr3:uid="{4939A85A-D17C-4B9E-B70E-1D4F0F70526C}" name="Targets Achieved" dataDxfId="3"/>
    <tableColumn id="3" xr3:uid="{807C989C-BDC2-40A0-A15E-1A2990347B8C}" name="Attendance %" dataDxfId="2"/>
    <tableColumn id="4" xr3:uid="{3844BA71-F726-4F2B-8135-A09234A4C3CD}" name="Performance" dataDxfId="0">
      <calculatedColumnFormula>IF(AND(C6&gt;=90,B6&gt;=40,"Excellent"),IF(C6&gt;=80,"Good"),"Needs Improvement")</calculatedColumnFormula>
    </tableColumn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40C7-AFDF-4D23-83E4-4620670648F7}">
  <dimension ref="A1:N25"/>
  <sheetViews>
    <sheetView workbookViewId="0">
      <selection activeCell="F1" sqref="F1:N2"/>
    </sheetView>
  </sheetViews>
  <sheetFormatPr defaultRowHeight="14.4" x14ac:dyDescent="0.3"/>
  <cols>
    <col min="1" max="1" width="9.88671875" customWidth="1"/>
    <col min="2" max="2" width="16.44140625" customWidth="1"/>
    <col min="11" max="11" width="12.77734375" customWidth="1"/>
  </cols>
  <sheetData>
    <row r="1" spans="1:14" x14ac:dyDescent="0.3">
      <c r="F1" s="46" t="s">
        <v>0</v>
      </c>
      <c r="G1" s="47"/>
      <c r="H1" s="47"/>
      <c r="I1" s="47"/>
      <c r="J1" s="47"/>
      <c r="K1" s="47"/>
      <c r="L1" s="47"/>
      <c r="M1" s="47"/>
      <c r="N1" s="47"/>
    </row>
    <row r="2" spans="1:14" x14ac:dyDescent="0.3">
      <c r="F2" s="47"/>
      <c r="G2" s="47"/>
      <c r="H2" s="47"/>
      <c r="I2" s="47"/>
      <c r="J2" s="47"/>
      <c r="K2" s="47"/>
      <c r="L2" s="47"/>
      <c r="M2" s="47"/>
      <c r="N2" s="47"/>
    </row>
    <row r="5" spans="1:14" ht="33.6" x14ac:dyDescent="0.3">
      <c r="A5" s="11" t="s">
        <v>1</v>
      </c>
      <c r="B5" s="12" t="s">
        <v>2</v>
      </c>
      <c r="C5" s="12" t="s">
        <v>3</v>
      </c>
      <c r="D5" s="13" t="s">
        <v>4</v>
      </c>
    </row>
    <row r="6" spans="1:14" ht="15.6" x14ac:dyDescent="0.3">
      <c r="A6" s="9">
        <v>1</v>
      </c>
      <c r="B6" s="2" t="s">
        <v>5</v>
      </c>
      <c r="C6" s="2">
        <v>78</v>
      </c>
      <c r="D6" s="10" t="str">
        <f>IF(C6&gt;=40,"Pass","Fail")</f>
        <v>Pass</v>
      </c>
      <c r="I6" s="35" t="s">
        <v>10</v>
      </c>
      <c r="J6" s="35"/>
      <c r="K6" s="35"/>
    </row>
    <row r="7" spans="1:14" ht="15" x14ac:dyDescent="0.3">
      <c r="A7" s="9">
        <v>2</v>
      </c>
      <c r="B7" s="2" t="s">
        <v>6</v>
      </c>
      <c r="C7" s="2">
        <v>35</v>
      </c>
      <c r="D7" s="10" t="str">
        <f t="shared" ref="D7:D10" si="0">IF(C7&gt;=40,"Pass","Fail")</f>
        <v>Fail</v>
      </c>
      <c r="I7" s="36" t="s">
        <v>11</v>
      </c>
      <c r="J7" s="36"/>
      <c r="K7" s="36"/>
    </row>
    <row r="8" spans="1:14" ht="15" x14ac:dyDescent="0.3">
      <c r="A8" s="9">
        <v>3</v>
      </c>
      <c r="B8" s="2" t="s">
        <v>7</v>
      </c>
      <c r="C8" s="2">
        <v>62</v>
      </c>
      <c r="D8" s="10" t="str">
        <f t="shared" si="0"/>
        <v>Pass</v>
      </c>
      <c r="I8" s="36" t="s">
        <v>12</v>
      </c>
      <c r="J8" s="36"/>
      <c r="K8" s="36"/>
    </row>
    <row r="9" spans="1:14" ht="15" x14ac:dyDescent="0.3">
      <c r="A9" s="9">
        <v>4</v>
      </c>
      <c r="B9" s="2" t="s">
        <v>8</v>
      </c>
      <c r="C9" s="2">
        <v>40</v>
      </c>
      <c r="D9" s="10" t="str">
        <f t="shared" si="0"/>
        <v>Pass</v>
      </c>
    </row>
    <row r="10" spans="1:14" ht="15" x14ac:dyDescent="0.3">
      <c r="A10" s="14">
        <v>5</v>
      </c>
      <c r="B10" s="3" t="s">
        <v>9</v>
      </c>
      <c r="C10" s="3">
        <v>28</v>
      </c>
      <c r="D10" s="15" t="str">
        <f t="shared" si="0"/>
        <v>Fail</v>
      </c>
    </row>
    <row r="11" spans="1:14" ht="15" x14ac:dyDescent="0.3">
      <c r="A11" s="4"/>
      <c r="B11" s="4"/>
      <c r="C11" s="5"/>
      <c r="D11" s="6"/>
      <c r="I11" s="7"/>
    </row>
    <row r="12" spans="1:14" ht="15" x14ac:dyDescent="0.3">
      <c r="A12" s="4"/>
      <c r="B12" s="4"/>
      <c r="C12" s="5"/>
      <c r="D12" s="6"/>
    </row>
    <row r="13" spans="1:14" ht="15" x14ac:dyDescent="0.3">
      <c r="A13" s="4"/>
      <c r="B13" s="4"/>
      <c r="C13" s="5"/>
      <c r="D13" s="6"/>
    </row>
    <row r="14" spans="1:14" ht="15" x14ac:dyDescent="0.3">
      <c r="A14" s="4"/>
      <c r="B14" s="4"/>
      <c r="C14" s="5"/>
      <c r="D14" s="6"/>
    </row>
    <row r="15" spans="1:14" ht="15" x14ac:dyDescent="0.3">
      <c r="A15" s="4"/>
      <c r="B15" s="4"/>
      <c r="C15" s="5"/>
      <c r="D15" s="6"/>
    </row>
    <row r="16" spans="1:14" ht="15" x14ac:dyDescent="0.3">
      <c r="A16" s="4"/>
      <c r="B16" s="4"/>
      <c r="C16" s="5"/>
      <c r="D16" s="6"/>
    </row>
    <row r="17" spans="1:4" ht="15" x14ac:dyDescent="0.3">
      <c r="A17" s="4"/>
      <c r="B17" s="4"/>
      <c r="C17" s="5"/>
      <c r="D17" s="6"/>
    </row>
    <row r="18" spans="1:4" ht="15" x14ac:dyDescent="0.3">
      <c r="A18" s="4"/>
      <c r="B18" s="4"/>
      <c r="C18" s="5"/>
      <c r="D18" s="6"/>
    </row>
    <row r="19" spans="1:4" ht="15" x14ac:dyDescent="0.3">
      <c r="A19" s="4"/>
      <c r="B19" s="4"/>
      <c r="C19" s="5"/>
      <c r="D19" s="6"/>
    </row>
    <row r="20" spans="1:4" ht="15" x14ac:dyDescent="0.3">
      <c r="A20" s="4"/>
      <c r="B20" s="4"/>
      <c r="C20" s="5"/>
      <c r="D20" s="6"/>
    </row>
    <row r="21" spans="1:4" ht="15" x14ac:dyDescent="0.3">
      <c r="A21" s="4"/>
      <c r="B21" s="4"/>
      <c r="C21" s="5"/>
      <c r="D21" s="6"/>
    </row>
    <row r="22" spans="1:4" ht="15" x14ac:dyDescent="0.3">
      <c r="A22" s="4"/>
      <c r="B22" s="4"/>
      <c r="C22" s="5"/>
      <c r="D22" s="6"/>
    </row>
    <row r="23" spans="1:4" ht="15" x14ac:dyDescent="0.3">
      <c r="A23" s="4"/>
      <c r="B23" s="4"/>
      <c r="C23" s="5"/>
      <c r="D23" s="6"/>
    </row>
    <row r="24" spans="1:4" ht="15" x14ac:dyDescent="0.3">
      <c r="A24" s="4"/>
      <c r="B24" s="4"/>
      <c r="C24" s="5"/>
      <c r="D24" s="6"/>
    </row>
    <row r="25" spans="1:4" ht="15" x14ac:dyDescent="0.3">
      <c r="A25" s="4"/>
      <c r="B25" s="4"/>
      <c r="C25" s="5"/>
      <c r="D25" s="6"/>
    </row>
  </sheetData>
  <mergeCells count="4">
    <mergeCell ref="F1:N2"/>
    <mergeCell ref="I7:K7"/>
    <mergeCell ref="I6:K6"/>
    <mergeCell ref="I8:K8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ACCBB-6E22-4A09-8AD0-75B971E4657C}">
  <dimension ref="A1:N9"/>
  <sheetViews>
    <sheetView workbookViewId="0">
      <selection activeCell="G1" sqref="G1:N2"/>
    </sheetView>
  </sheetViews>
  <sheetFormatPr defaultRowHeight="14.4" x14ac:dyDescent="0.3"/>
  <cols>
    <col min="1" max="1" width="17.33203125" customWidth="1"/>
    <col min="3" max="3" width="14.33203125" customWidth="1"/>
  </cols>
  <sheetData>
    <row r="1" spans="1:14" x14ac:dyDescent="0.3">
      <c r="G1" s="44" t="s">
        <v>13</v>
      </c>
      <c r="H1" s="45"/>
      <c r="I1" s="45"/>
      <c r="J1" s="45"/>
      <c r="K1" s="45"/>
      <c r="L1" s="45"/>
      <c r="M1" s="45"/>
      <c r="N1" s="45"/>
    </row>
    <row r="2" spans="1:14" x14ac:dyDescent="0.3">
      <c r="G2" s="45"/>
      <c r="H2" s="45"/>
      <c r="I2" s="45"/>
      <c r="J2" s="45"/>
      <c r="K2" s="45"/>
      <c r="L2" s="45"/>
      <c r="M2" s="45"/>
      <c r="N2" s="45"/>
    </row>
    <row r="5" spans="1:14" ht="30" x14ac:dyDescent="0.3">
      <c r="A5" s="19" t="s">
        <v>14</v>
      </c>
      <c r="B5" s="20" t="s">
        <v>15</v>
      </c>
      <c r="C5" s="21" t="s">
        <v>16</v>
      </c>
    </row>
    <row r="6" spans="1:14" ht="27.6" customHeight="1" x14ac:dyDescent="0.3">
      <c r="A6" s="16" t="s">
        <v>17</v>
      </c>
      <c r="B6" s="1">
        <v>28000</v>
      </c>
      <c r="C6" s="18" t="str">
        <f>IF(B6&gt;=40000,"Bonus","No Bonus")</f>
        <v>No Bonus</v>
      </c>
      <c r="G6" s="37" t="s">
        <v>10</v>
      </c>
      <c r="H6" s="37"/>
      <c r="I6" s="37"/>
    </row>
    <row r="7" spans="1:14" ht="24" customHeight="1" x14ac:dyDescent="0.3">
      <c r="A7" s="17" t="s">
        <v>18</v>
      </c>
      <c r="B7" s="8">
        <v>45000</v>
      </c>
      <c r="C7" s="18" t="str">
        <f t="shared" ref="C7:C9" si="0">IF(B7&gt;=40000,"Bonus","No Bonus")</f>
        <v>Bonus</v>
      </c>
      <c r="G7" s="38" t="s">
        <v>21</v>
      </c>
      <c r="H7" s="38"/>
      <c r="I7" s="38"/>
    </row>
    <row r="8" spans="1:14" ht="21" customHeight="1" x14ac:dyDescent="0.3">
      <c r="A8" s="16" t="s">
        <v>19</v>
      </c>
      <c r="B8" s="1">
        <v>52000</v>
      </c>
      <c r="C8" s="18" t="str">
        <f t="shared" si="0"/>
        <v>Bonus</v>
      </c>
      <c r="G8" s="38" t="s">
        <v>22</v>
      </c>
      <c r="H8" s="38"/>
      <c r="I8" s="38"/>
    </row>
    <row r="9" spans="1:14" ht="32.4" customHeight="1" x14ac:dyDescent="0.3">
      <c r="A9" s="22" t="s">
        <v>20</v>
      </c>
      <c r="B9" s="23">
        <v>30000</v>
      </c>
      <c r="C9" s="24" t="str">
        <f t="shared" si="0"/>
        <v>No Bonus</v>
      </c>
    </row>
  </sheetData>
  <mergeCells count="4">
    <mergeCell ref="G1:N2"/>
    <mergeCell ref="G6:I6"/>
    <mergeCell ref="G7:I7"/>
    <mergeCell ref="G8:I8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8D1F9-796A-4722-B616-D1AD92C1200E}">
  <dimension ref="A1:O10"/>
  <sheetViews>
    <sheetView workbookViewId="0">
      <selection activeCell="G1" sqref="G1:O2"/>
    </sheetView>
  </sheetViews>
  <sheetFormatPr defaultRowHeight="14.4" x14ac:dyDescent="0.3"/>
  <cols>
    <col min="1" max="1" width="16.5546875" customWidth="1"/>
  </cols>
  <sheetData>
    <row r="1" spans="1:15" x14ac:dyDescent="0.3">
      <c r="G1" s="42" t="s">
        <v>23</v>
      </c>
      <c r="H1" s="43"/>
      <c r="I1" s="43"/>
      <c r="J1" s="43"/>
      <c r="K1" s="43"/>
      <c r="L1" s="43"/>
      <c r="M1" s="43"/>
      <c r="N1" s="43"/>
      <c r="O1" s="43"/>
    </row>
    <row r="2" spans="1:15" x14ac:dyDescent="0.3">
      <c r="G2" s="43"/>
      <c r="H2" s="43"/>
      <c r="I2" s="43"/>
      <c r="J2" s="43"/>
      <c r="K2" s="43"/>
      <c r="L2" s="43"/>
      <c r="M2" s="43"/>
      <c r="N2" s="43"/>
      <c r="O2" s="43"/>
    </row>
    <row r="5" spans="1:15" ht="30" x14ac:dyDescent="0.3">
      <c r="A5" s="28" t="s">
        <v>2</v>
      </c>
      <c r="B5" s="29" t="s">
        <v>3</v>
      </c>
      <c r="C5" s="30" t="s">
        <v>24</v>
      </c>
    </row>
    <row r="6" spans="1:15" ht="15.6" x14ac:dyDescent="0.3">
      <c r="A6" s="26" t="s">
        <v>5</v>
      </c>
      <c r="B6" s="25">
        <v>82</v>
      </c>
      <c r="C6" s="27" t="str">
        <f>IF(B6&gt;=75,"A",IF(B6&gt;=60,"B",IF(B6&gt;=40,"C","Fail")))</f>
        <v>A</v>
      </c>
      <c r="G6" s="35" t="s">
        <v>10</v>
      </c>
      <c r="H6" s="35"/>
      <c r="I6" s="35"/>
    </row>
    <row r="7" spans="1:15" ht="15" x14ac:dyDescent="0.3">
      <c r="A7" s="26" t="s">
        <v>6</v>
      </c>
      <c r="B7" s="25">
        <v>67</v>
      </c>
      <c r="C7" s="27" t="str">
        <f t="shared" ref="C7:C10" si="0">IF(B7&gt;=75,"A",IF(B7&gt;=60,"B",IF(B7&gt;=40,"C","Fail")))</f>
        <v>B</v>
      </c>
      <c r="G7" s="36" t="s">
        <v>25</v>
      </c>
      <c r="H7" s="36"/>
      <c r="I7" s="36"/>
    </row>
    <row r="8" spans="1:15" ht="15" x14ac:dyDescent="0.3">
      <c r="A8" s="26" t="s">
        <v>7</v>
      </c>
      <c r="B8" s="25">
        <v>45</v>
      </c>
      <c r="C8" s="27" t="str">
        <f t="shared" si="0"/>
        <v>C</v>
      </c>
      <c r="G8" s="36" t="s">
        <v>27</v>
      </c>
      <c r="H8" s="36"/>
      <c r="I8" s="36"/>
    </row>
    <row r="9" spans="1:15" ht="15" x14ac:dyDescent="0.3">
      <c r="A9" s="26" t="s">
        <v>8</v>
      </c>
      <c r="B9" s="25">
        <v>33</v>
      </c>
      <c r="C9" s="27" t="str">
        <f t="shared" si="0"/>
        <v>Fail</v>
      </c>
      <c r="G9" s="36" t="s">
        <v>28</v>
      </c>
      <c r="H9" s="36"/>
      <c r="I9" s="36"/>
    </row>
    <row r="10" spans="1:15" ht="15" x14ac:dyDescent="0.3">
      <c r="A10" s="31" t="s">
        <v>9</v>
      </c>
      <c r="B10" s="32">
        <v>90</v>
      </c>
      <c r="C10" s="27" t="str">
        <f t="shared" si="0"/>
        <v>A</v>
      </c>
      <c r="G10" s="36" t="s">
        <v>26</v>
      </c>
      <c r="H10" s="36"/>
      <c r="I10" s="36"/>
    </row>
  </sheetData>
  <mergeCells count="6">
    <mergeCell ref="G1:O2"/>
    <mergeCell ref="G6:I6"/>
    <mergeCell ref="G7:I7"/>
    <mergeCell ref="G10:I10"/>
    <mergeCell ref="G8:I8"/>
    <mergeCell ref="G9:I9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6FA66-7D59-4014-8E29-9E441FE783A1}">
  <dimension ref="A1:O9"/>
  <sheetViews>
    <sheetView workbookViewId="0">
      <selection activeCell="D6" sqref="D6"/>
    </sheetView>
  </sheetViews>
  <sheetFormatPr defaultRowHeight="14.4" x14ac:dyDescent="0.3"/>
  <cols>
    <col min="3" max="3" width="19" customWidth="1"/>
    <col min="4" max="4" width="9.6640625" bestFit="1" customWidth="1"/>
    <col min="10" max="10" width="15.5546875" customWidth="1"/>
  </cols>
  <sheetData>
    <row r="1" spans="1:15" x14ac:dyDescent="0.3">
      <c r="G1" s="40" t="s">
        <v>29</v>
      </c>
      <c r="H1" s="41"/>
      <c r="I1" s="41"/>
      <c r="J1" s="41"/>
      <c r="K1" s="41"/>
      <c r="L1" s="41"/>
      <c r="M1" s="41"/>
      <c r="N1" s="41"/>
      <c r="O1" s="41"/>
    </row>
    <row r="2" spans="1:15" x14ac:dyDescent="0.3">
      <c r="G2" s="41"/>
      <c r="H2" s="41"/>
      <c r="I2" s="41"/>
      <c r="J2" s="41"/>
      <c r="K2" s="41"/>
      <c r="L2" s="41"/>
      <c r="M2" s="41"/>
      <c r="N2" s="41"/>
      <c r="O2" s="41"/>
    </row>
    <row r="5" spans="1:15" ht="21" customHeight="1" x14ac:dyDescent="0.3">
      <c r="A5" s="54" t="s">
        <v>30</v>
      </c>
      <c r="B5" s="55" t="s">
        <v>31</v>
      </c>
      <c r="C5" s="55" t="s">
        <v>32</v>
      </c>
      <c r="D5" s="56" t="s">
        <v>33</v>
      </c>
    </row>
    <row r="6" spans="1:15" ht="18.600000000000001" customHeight="1" x14ac:dyDescent="0.3">
      <c r="A6" s="51" t="s">
        <v>17</v>
      </c>
      <c r="B6" s="39">
        <v>25</v>
      </c>
      <c r="C6" s="39">
        <v>2</v>
      </c>
      <c r="D6" s="53" t="str">
        <f>IF(AND(B6&gt;=21,C6&gt;=1),"Eligible","Not Eligible")</f>
        <v>Eligible</v>
      </c>
      <c r="H6" s="33" t="s">
        <v>35</v>
      </c>
      <c r="I6" s="33"/>
      <c r="J6" s="33"/>
    </row>
    <row r="7" spans="1:15" ht="30" customHeight="1" x14ac:dyDescent="0.3">
      <c r="A7" s="52" t="s">
        <v>18</v>
      </c>
      <c r="B7" s="39">
        <v>20</v>
      </c>
      <c r="C7" s="39">
        <v>1</v>
      </c>
      <c r="D7" s="53" t="str">
        <f t="shared" ref="D7:D9" si="0">IF(AND(B7&gt;=21,C7&gt;=1),"Eligible","Not Eligible")</f>
        <v>Not Eligible</v>
      </c>
      <c r="H7" s="34" t="s">
        <v>34</v>
      </c>
      <c r="I7" s="34"/>
      <c r="J7" s="34"/>
    </row>
    <row r="8" spans="1:15" ht="20.399999999999999" customHeight="1" x14ac:dyDescent="0.3">
      <c r="A8" s="52" t="s">
        <v>19</v>
      </c>
      <c r="B8" s="39">
        <v>30</v>
      </c>
      <c r="C8" s="39">
        <v>5</v>
      </c>
      <c r="D8" s="53" t="str">
        <f t="shared" si="0"/>
        <v>Eligible</v>
      </c>
    </row>
    <row r="9" spans="1:15" ht="31.2" customHeight="1" x14ac:dyDescent="0.3">
      <c r="A9" s="57" t="s">
        <v>20</v>
      </c>
      <c r="B9" s="58">
        <v>22</v>
      </c>
      <c r="C9" s="58">
        <v>0</v>
      </c>
      <c r="D9" s="59" t="str">
        <f t="shared" si="0"/>
        <v>Not Eligible</v>
      </c>
    </row>
  </sheetData>
  <mergeCells count="1">
    <mergeCell ref="G1:O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B3755-4324-4934-957E-FEEBAAFE3767}">
  <dimension ref="A1:Q9"/>
  <sheetViews>
    <sheetView workbookViewId="0">
      <selection activeCell="I15" sqref="I15"/>
    </sheetView>
  </sheetViews>
  <sheetFormatPr defaultRowHeight="14.4" x14ac:dyDescent="0.3"/>
  <cols>
    <col min="1" max="1" width="15" customWidth="1"/>
    <col min="2" max="2" width="13.109375" customWidth="1"/>
    <col min="3" max="3" width="13.88671875" customWidth="1"/>
    <col min="4" max="4" width="8.5546875" customWidth="1"/>
    <col min="9" max="9" width="16.33203125" customWidth="1"/>
  </cols>
  <sheetData>
    <row r="1" spans="1:17" x14ac:dyDescent="0.3">
      <c r="G1" s="49" t="s">
        <v>36</v>
      </c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x14ac:dyDescent="0.3"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</row>
    <row r="5" spans="1:17" ht="60" x14ac:dyDescent="0.3">
      <c r="A5" s="68" t="s">
        <v>2</v>
      </c>
      <c r="B5" s="69" t="s">
        <v>37</v>
      </c>
      <c r="C5" s="69" t="s">
        <v>38</v>
      </c>
      <c r="D5" s="70" t="s">
        <v>33</v>
      </c>
    </row>
    <row r="6" spans="1:17" ht="21.6" customHeight="1" x14ac:dyDescent="0.3">
      <c r="A6" s="66" t="s">
        <v>5</v>
      </c>
      <c r="B6" s="65">
        <v>85</v>
      </c>
      <c r="C6" s="65" t="s">
        <v>39</v>
      </c>
      <c r="D6" s="67" t="str">
        <f>IF(AND(B6&gt;=75,C6="Yes"),"Eligible","Not Eligible")</f>
        <v>Eligible</v>
      </c>
      <c r="G6" s="61" t="s">
        <v>35</v>
      </c>
      <c r="H6" s="61"/>
      <c r="I6" s="61"/>
      <c r="J6" s="60"/>
    </row>
    <row r="7" spans="1:17" ht="31.8" customHeight="1" x14ac:dyDescent="0.3">
      <c r="A7" s="66" t="s">
        <v>6</v>
      </c>
      <c r="B7" s="65">
        <v>72</v>
      </c>
      <c r="C7" s="65" t="s">
        <v>39</v>
      </c>
      <c r="D7" s="67" t="str">
        <f t="shared" ref="D7:D9" si="0">IF(AND(B7&gt;=75,C7="Yes"),"Eligible","Not Eligible")</f>
        <v>Not Eligible</v>
      </c>
      <c r="G7" s="62" t="s">
        <v>41</v>
      </c>
      <c r="H7" s="62"/>
      <c r="I7" s="62"/>
      <c r="J7" s="60"/>
    </row>
    <row r="8" spans="1:17" ht="33" customHeight="1" x14ac:dyDescent="0.3">
      <c r="A8" s="66" t="s">
        <v>7</v>
      </c>
      <c r="B8" s="65">
        <v>90</v>
      </c>
      <c r="C8" s="65" t="s">
        <v>40</v>
      </c>
      <c r="D8" s="67" t="str">
        <f t="shared" si="0"/>
        <v>Not Eligible</v>
      </c>
    </row>
    <row r="9" spans="1:17" ht="22.2" customHeight="1" x14ac:dyDescent="0.3">
      <c r="A9" s="71" t="s">
        <v>8</v>
      </c>
      <c r="B9" s="72">
        <v>80</v>
      </c>
      <c r="C9" s="72" t="s">
        <v>39</v>
      </c>
      <c r="D9" s="73" t="str">
        <f t="shared" si="0"/>
        <v>Eligible</v>
      </c>
    </row>
  </sheetData>
  <mergeCells count="1">
    <mergeCell ref="G1:Q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44C09-C997-4743-B853-FAEFE8FCF8D5}">
  <dimension ref="A1:Q9"/>
  <sheetViews>
    <sheetView workbookViewId="0">
      <selection activeCell="H6" sqref="H6:J7"/>
    </sheetView>
  </sheetViews>
  <sheetFormatPr defaultRowHeight="14.4" x14ac:dyDescent="0.3"/>
  <cols>
    <col min="1" max="1" width="18.21875" customWidth="1"/>
    <col min="2" max="2" width="19.6640625" customWidth="1"/>
    <col min="3" max="3" width="14.5546875" customWidth="1"/>
    <col min="4" max="4" width="11.21875" customWidth="1"/>
    <col min="10" max="10" width="16.109375" customWidth="1"/>
  </cols>
  <sheetData>
    <row r="1" spans="1:17" x14ac:dyDescent="0.3">
      <c r="E1" s="60"/>
      <c r="F1" s="82"/>
      <c r="G1" s="63" t="s">
        <v>42</v>
      </c>
      <c r="H1" s="64"/>
      <c r="I1" s="64"/>
      <c r="J1" s="64"/>
      <c r="K1" s="64"/>
      <c r="L1" s="64"/>
      <c r="M1" s="64"/>
      <c r="N1" s="64"/>
      <c r="O1" s="64"/>
      <c r="P1" s="64"/>
      <c r="Q1" s="64"/>
    </row>
    <row r="2" spans="1:17" x14ac:dyDescent="0.3">
      <c r="E2" s="60"/>
      <c r="F2" s="82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</row>
    <row r="5" spans="1:17" ht="30" x14ac:dyDescent="0.3">
      <c r="A5" s="77" t="s">
        <v>43</v>
      </c>
      <c r="B5" s="78" t="s">
        <v>44</v>
      </c>
      <c r="C5" s="78" t="s">
        <v>45</v>
      </c>
      <c r="D5" s="79" t="s">
        <v>46</v>
      </c>
    </row>
    <row r="6" spans="1:17" ht="30" x14ac:dyDescent="0.3">
      <c r="A6" s="75" t="s">
        <v>47</v>
      </c>
      <c r="B6" s="74">
        <v>9000</v>
      </c>
      <c r="C6" s="74" t="s">
        <v>40</v>
      </c>
      <c r="D6" s="76" t="str">
        <f>IF(OR(B6&gt;=10000,C6="Yes"),"Discount","No Discount")</f>
        <v>No Discount</v>
      </c>
      <c r="H6" s="61" t="s">
        <v>35</v>
      </c>
      <c r="I6" s="61"/>
      <c r="J6" s="61"/>
    </row>
    <row r="7" spans="1:17" ht="30" x14ac:dyDescent="0.3">
      <c r="A7" s="75" t="s">
        <v>48</v>
      </c>
      <c r="B7" s="74">
        <v>12000</v>
      </c>
      <c r="C7" s="74" t="s">
        <v>40</v>
      </c>
      <c r="D7" s="76" t="str">
        <f t="shared" ref="D7:D9" si="0">IF(OR(B7&gt;=10000,C7="Yes"),"Discount","No Discount")</f>
        <v>Discount</v>
      </c>
      <c r="H7" s="62" t="s">
        <v>50</v>
      </c>
      <c r="I7" s="62"/>
      <c r="J7" s="62"/>
    </row>
    <row r="8" spans="1:17" ht="30" x14ac:dyDescent="0.3">
      <c r="A8" s="75" t="s">
        <v>7</v>
      </c>
      <c r="B8" s="74">
        <v>4000</v>
      </c>
      <c r="C8" s="74" t="s">
        <v>39</v>
      </c>
      <c r="D8" s="76" t="str">
        <f t="shared" si="0"/>
        <v>Discount</v>
      </c>
    </row>
    <row r="9" spans="1:17" ht="30" x14ac:dyDescent="0.3">
      <c r="A9" s="80" t="s">
        <v>49</v>
      </c>
      <c r="B9" s="81">
        <v>3000</v>
      </c>
      <c r="C9" s="81" t="s">
        <v>40</v>
      </c>
      <c r="D9" s="76" t="str">
        <f t="shared" si="0"/>
        <v>No Discount</v>
      </c>
    </row>
  </sheetData>
  <mergeCells count="1">
    <mergeCell ref="G1:Q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0544-37B2-4BB4-8A2C-FEA46EF818A3}">
  <dimension ref="A1:Q9"/>
  <sheetViews>
    <sheetView workbookViewId="0">
      <selection activeCell="G7" sqref="G7:I8"/>
    </sheetView>
  </sheetViews>
  <sheetFormatPr defaultRowHeight="14.4" x14ac:dyDescent="0.3"/>
  <cols>
    <col min="1" max="1" width="12.21875" customWidth="1"/>
    <col min="3" max="3" width="13.88671875" customWidth="1"/>
    <col min="4" max="4" width="14.33203125" customWidth="1"/>
    <col min="9" max="9" width="15.6640625" customWidth="1"/>
  </cols>
  <sheetData>
    <row r="1" spans="1:17" x14ac:dyDescent="0.3">
      <c r="G1" s="83" t="s">
        <v>51</v>
      </c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1:17" x14ac:dyDescent="0.3"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</row>
    <row r="5" spans="1:17" ht="16.8" x14ac:dyDescent="0.3">
      <c r="A5" s="91" t="s">
        <v>52</v>
      </c>
      <c r="B5" s="92" t="s">
        <v>15</v>
      </c>
      <c r="C5" s="92" t="s">
        <v>53</v>
      </c>
      <c r="D5" s="93" t="s">
        <v>54</v>
      </c>
    </row>
    <row r="6" spans="1:17" ht="30" x14ac:dyDescent="0.3">
      <c r="A6" s="85" t="s">
        <v>17</v>
      </c>
      <c r="B6" s="86">
        <v>35000</v>
      </c>
      <c r="C6" s="86">
        <v>720</v>
      </c>
      <c r="D6" s="87" t="str">
        <f>IF(OR(B6&gt;=40000,C6&gt;=700),"Loan Approval","Not Approval")</f>
        <v>Loan Approval</v>
      </c>
    </row>
    <row r="7" spans="1:17" ht="15.6" x14ac:dyDescent="0.3">
      <c r="A7" s="85" t="s">
        <v>18</v>
      </c>
      <c r="B7" s="86">
        <v>25000</v>
      </c>
      <c r="C7" s="86">
        <v>680</v>
      </c>
      <c r="D7" s="87" t="str">
        <f t="shared" ref="D7:D9" si="0">IF(OR(B7&gt;=40000,C7&gt;=700),"Loan Approval","Not Approval")</f>
        <v>Not Approval</v>
      </c>
      <c r="G7" s="61" t="s">
        <v>35</v>
      </c>
      <c r="H7" s="61"/>
      <c r="I7" s="61"/>
    </row>
    <row r="8" spans="1:17" ht="30" x14ac:dyDescent="0.3">
      <c r="A8" s="85" t="s">
        <v>19</v>
      </c>
      <c r="B8" s="86">
        <v>50000</v>
      </c>
      <c r="C8" s="86">
        <v>650</v>
      </c>
      <c r="D8" s="87" t="str">
        <f t="shared" si="0"/>
        <v>Loan Approval</v>
      </c>
      <c r="G8" s="62" t="s">
        <v>55</v>
      </c>
      <c r="H8" s="62"/>
      <c r="I8" s="62"/>
    </row>
    <row r="9" spans="1:17" ht="15" x14ac:dyDescent="0.3">
      <c r="A9" s="88" t="s">
        <v>20</v>
      </c>
      <c r="B9" s="89">
        <v>20000</v>
      </c>
      <c r="C9" s="89">
        <v>600</v>
      </c>
      <c r="D9" s="90" t="str">
        <f t="shared" si="0"/>
        <v>Not Approval</v>
      </c>
    </row>
  </sheetData>
  <mergeCells count="1">
    <mergeCell ref="G1:Q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9F5D-3761-494E-9629-808270B5AA20}">
  <dimension ref="A1:Q9"/>
  <sheetViews>
    <sheetView topLeftCell="A2" workbookViewId="0">
      <selection activeCell="F6" sqref="F6:H8"/>
    </sheetView>
  </sheetViews>
  <sheetFormatPr defaultRowHeight="14.4" x14ac:dyDescent="0.3"/>
  <cols>
    <col min="2" max="2" width="10.109375" customWidth="1"/>
    <col min="3" max="3" width="9" customWidth="1"/>
  </cols>
  <sheetData>
    <row r="1" spans="1:17" x14ac:dyDescent="0.3">
      <c r="G1" s="94" t="s">
        <v>56</v>
      </c>
      <c r="H1" s="95"/>
      <c r="I1" s="95"/>
      <c r="J1" s="95"/>
      <c r="K1" s="95"/>
      <c r="L1" s="95"/>
      <c r="M1" s="95"/>
      <c r="N1" s="95"/>
      <c r="O1" s="95"/>
      <c r="P1" s="95"/>
      <c r="Q1" s="95"/>
    </row>
    <row r="2" spans="1:17" x14ac:dyDescent="0.3"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</row>
    <row r="5" spans="1:17" ht="16.8" x14ac:dyDescent="0.3">
      <c r="A5" s="100" t="s">
        <v>30</v>
      </c>
      <c r="B5" s="101" t="s">
        <v>57</v>
      </c>
      <c r="C5" s="102" t="s">
        <v>58</v>
      </c>
    </row>
    <row r="6" spans="1:17" ht="15.6" x14ac:dyDescent="0.3">
      <c r="A6" s="98" t="s">
        <v>5</v>
      </c>
      <c r="B6" s="96" t="b">
        <v>1</v>
      </c>
      <c r="C6" s="99" t="str">
        <f>IF(NOT(B6),"Present","Absent")</f>
        <v>Absent</v>
      </c>
      <c r="F6" s="61" t="s">
        <v>35</v>
      </c>
      <c r="G6" s="61"/>
      <c r="H6" s="61"/>
    </row>
    <row r="7" spans="1:17" ht="15" x14ac:dyDescent="0.3">
      <c r="A7" s="98" t="s">
        <v>6</v>
      </c>
      <c r="B7" s="96" t="b">
        <v>0</v>
      </c>
      <c r="C7" s="99" t="str">
        <f t="shared" ref="C7:C9" si="0">IF(NOT(B7),"Present","Absent")</f>
        <v>Present</v>
      </c>
      <c r="F7" s="62" t="s">
        <v>59</v>
      </c>
      <c r="G7" s="62"/>
      <c r="H7" s="62"/>
    </row>
    <row r="8" spans="1:17" ht="15" x14ac:dyDescent="0.3">
      <c r="A8" s="98" t="s">
        <v>7</v>
      </c>
      <c r="B8" s="96" t="b">
        <v>1</v>
      </c>
      <c r="C8" s="99" t="str">
        <f t="shared" si="0"/>
        <v>Absent</v>
      </c>
      <c r="F8" s="97" t="s">
        <v>60</v>
      </c>
      <c r="G8" s="97"/>
      <c r="H8" s="97"/>
    </row>
    <row r="9" spans="1:17" ht="15" x14ac:dyDescent="0.3">
      <c r="A9" s="103" t="s">
        <v>8</v>
      </c>
      <c r="B9" s="104" t="b">
        <v>0</v>
      </c>
      <c r="C9" s="105" t="str">
        <f t="shared" si="0"/>
        <v>Present</v>
      </c>
    </row>
  </sheetData>
  <mergeCells count="2">
    <mergeCell ref="G1:Q2"/>
    <mergeCell ref="F8:H8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F1D37-DA53-4BF0-BCD9-EE79DC48F0BC}">
  <dimension ref="A1:Q9"/>
  <sheetViews>
    <sheetView workbookViewId="0">
      <selection activeCell="G6" sqref="G6:I8"/>
    </sheetView>
  </sheetViews>
  <sheetFormatPr defaultRowHeight="14.4" x14ac:dyDescent="0.3"/>
  <cols>
    <col min="1" max="2" width="12.6640625" customWidth="1"/>
  </cols>
  <sheetData>
    <row r="1" spans="1:17" x14ac:dyDescent="0.3">
      <c r="G1" s="106" t="s">
        <v>61</v>
      </c>
      <c r="H1" s="107"/>
      <c r="I1" s="107"/>
      <c r="J1" s="107"/>
      <c r="K1" s="107"/>
      <c r="L1" s="107"/>
      <c r="M1" s="107"/>
      <c r="N1" s="107"/>
      <c r="O1" s="107"/>
      <c r="P1" s="107"/>
      <c r="Q1" s="107"/>
    </row>
    <row r="2" spans="1:17" x14ac:dyDescent="0.3"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5" spans="1:17" ht="16.8" x14ac:dyDescent="0.3">
      <c r="A5" s="114" t="s">
        <v>62</v>
      </c>
      <c r="B5" s="115" t="s">
        <v>63</v>
      </c>
      <c r="C5" s="116" t="s">
        <v>4</v>
      </c>
    </row>
    <row r="6" spans="1:17" ht="15.6" x14ac:dyDescent="0.3">
      <c r="A6" s="108">
        <v>10</v>
      </c>
      <c r="B6" s="109">
        <v>2</v>
      </c>
      <c r="C6" s="110">
        <f>IFERROR(A6/B6,"Invalid")</f>
        <v>5</v>
      </c>
      <c r="G6" s="117" t="s">
        <v>35</v>
      </c>
      <c r="H6" s="117"/>
      <c r="I6" s="117"/>
    </row>
    <row r="7" spans="1:17" ht="15" x14ac:dyDescent="0.3">
      <c r="A7" s="108">
        <v>15</v>
      </c>
      <c r="B7" s="109">
        <v>0</v>
      </c>
      <c r="C7" s="110" t="str">
        <f t="shared" ref="C7:C9" si="0">IFERROR(A7/B7,"Invalid")</f>
        <v>Invalid</v>
      </c>
      <c r="G7" s="118" t="s">
        <v>64</v>
      </c>
      <c r="H7" s="118"/>
      <c r="I7" s="118"/>
    </row>
    <row r="8" spans="1:17" ht="15" x14ac:dyDescent="0.3">
      <c r="A8" s="108">
        <v>20</v>
      </c>
      <c r="B8" s="109">
        <v>5</v>
      </c>
      <c r="C8" s="110">
        <f t="shared" si="0"/>
        <v>4</v>
      </c>
      <c r="G8" s="119" t="s">
        <v>65</v>
      </c>
      <c r="H8" s="119"/>
      <c r="I8" s="119"/>
    </row>
    <row r="9" spans="1:17" ht="15" x14ac:dyDescent="0.3">
      <c r="A9" s="111">
        <v>8</v>
      </c>
      <c r="B9" s="112">
        <v>0</v>
      </c>
      <c r="C9" s="113" t="str">
        <f t="shared" si="0"/>
        <v>Invalid</v>
      </c>
    </row>
  </sheetData>
  <mergeCells count="2">
    <mergeCell ref="G1:Q2"/>
    <mergeCell ref="G8:I8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A44DB-22D8-4546-8333-DFA75F685D6A}">
  <dimension ref="A1:Q9"/>
  <sheetViews>
    <sheetView tabSelected="1" workbookViewId="0">
      <selection activeCell="H12" sqref="H12"/>
    </sheetView>
  </sheetViews>
  <sheetFormatPr defaultRowHeight="14.4" x14ac:dyDescent="0.3"/>
  <cols>
    <col min="1" max="1" width="17.33203125" customWidth="1"/>
    <col min="2" max="2" width="18.21875" customWidth="1"/>
    <col min="3" max="3" width="15.33203125" customWidth="1"/>
    <col min="4" max="4" width="14.21875" customWidth="1"/>
    <col min="9" max="9" width="20.6640625" customWidth="1"/>
  </cols>
  <sheetData>
    <row r="1" spans="1:17" x14ac:dyDescent="0.3">
      <c r="G1" s="120" t="s">
        <v>66</v>
      </c>
      <c r="H1" s="48"/>
      <c r="I1" s="48"/>
      <c r="J1" s="48"/>
      <c r="K1" s="48"/>
      <c r="L1" s="48"/>
      <c r="M1" s="48"/>
      <c r="N1" s="48"/>
      <c r="O1" s="48"/>
      <c r="P1" s="48"/>
      <c r="Q1" s="48"/>
    </row>
    <row r="2" spans="1:17" x14ac:dyDescent="0.3"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</row>
    <row r="5" spans="1:17" ht="30" x14ac:dyDescent="0.3">
      <c r="A5" s="121" t="s">
        <v>14</v>
      </c>
      <c r="B5" s="122" t="s">
        <v>67</v>
      </c>
      <c r="C5" s="122" t="s">
        <v>37</v>
      </c>
      <c r="D5" s="123" t="s">
        <v>68</v>
      </c>
    </row>
    <row r="6" spans="1:17" ht="19.8" customHeight="1" x14ac:dyDescent="0.3">
      <c r="A6" s="66" t="s">
        <v>69</v>
      </c>
      <c r="B6" s="65">
        <v>45</v>
      </c>
      <c r="C6" s="65">
        <v>92</v>
      </c>
      <c r="D6" s="67" t="str">
        <f t="shared" ref="D6:D9" si="0">IF(AND(C6&gt;=90,B6&gt;=40,"Excellent"),IF(C6&gt;=80,"Good"),"Needs Improvement")</f>
        <v>Good</v>
      </c>
      <c r="G6" s="117" t="s">
        <v>35</v>
      </c>
      <c r="H6" s="117"/>
      <c r="I6" s="117"/>
    </row>
    <row r="7" spans="1:17" ht="37.799999999999997" customHeight="1" x14ac:dyDescent="0.3">
      <c r="A7" s="66" t="s">
        <v>70</v>
      </c>
      <c r="B7" s="65">
        <v>38</v>
      </c>
      <c r="C7" s="65">
        <v>85</v>
      </c>
      <c r="D7" s="67" t="str">
        <f t="shared" si="0"/>
        <v>Needs Improvement</v>
      </c>
      <c r="G7" s="118" t="s">
        <v>73</v>
      </c>
      <c r="H7" s="118"/>
      <c r="I7" s="118"/>
    </row>
    <row r="8" spans="1:17" ht="15" x14ac:dyDescent="0.3">
      <c r="A8" s="66" t="s">
        <v>71</v>
      </c>
      <c r="B8" s="65">
        <v>50</v>
      </c>
      <c r="C8" s="65">
        <v>95</v>
      </c>
      <c r="D8" s="67" t="str">
        <f t="shared" si="0"/>
        <v>Good</v>
      </c>
      <c r="G8" s="119" t="s">
        <v>74</v>
      </c>
      <c r="H8" s="119"/>
      <c r="I8" s="119"/>
    </row>
    <row r="9" spans="1:17" ht="34.799999999999997" customHeight="1" x14ac:dyDescent="0.3">
      <c r="A9" s="71" t="s">
        <v>72</v>
      </c>
      <c r="B9" s="72">
        <v>30</v>
      </c>
      <c r="C9" s="72">
        <v>70</v>
      </c>
      <c r="D9" s="67" t="str">
        <f t="shared" si="0"/>
        <v>Needs Improvement</v>
      </c>
      <c r="G9" s="119" t="s">
        <v>75</v>
      </c>
      <c r="H9" s="119"/>
      <c r="I9" s="119"/>
    </row>
  </sheetData>
  <mergeCells count="3">
    <mergeCell ref="G1:Q2"/>
    <mergeCell ref="G8:I8"/>
    <mergeCell ref="G9:I9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neelpanchal2003@outlook.com</dc:creator>
  <cp:lastModifiedBy>neelpanchal2003@outlook.com</cp:lastModifiedBy>
  <dcterms:created xsi:type="dcterms:W3CDTF">2026-06-27T10:40:54Z</dcterms:created>
  <dcterms:modified xsi:type="dcterms:W3CDTF">2026-06-28T11:29:56Z</dcterms:modified>
</cp:coreProperties>
</file>