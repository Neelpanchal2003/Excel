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l\Desktop\Neel Adani\Excel\"/>
    </mc:Choice>
  </mc:AlternateContent>
  <xr:revisionPtr revIDLastSave="0" documentId="13_ncr:1_{5186FD21-3715-4480-B3C4-AFB6558E1941}" xr6:coauthVersionLast="47" xr6:coauthVersionMax="47" xr10:uidLastSave="{00000000-0000-0000-0000-000000000000}"/>
  <bookViews>
    <workbookView xWindow="-108" yWindow="-108" windowWidth="23256" windowHeight="12456" activeTab="9" xr2:uid="{B9D8269E-5C4C-4AA0-9DCA-98279014466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3" l="1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11" i="9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12" i="7"/>
  <c r="K8" i="6"/>
  <c r="K7" i="6"/>
  <c r="F16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12" i="5"/>
  <c r="G10" i="4"/>
  <c r="G9" i="4"/>
  <c r="G8" i="4"/>
  <c r="G7" i="4"/>
  <c r="F6" i="3"/>
  <c r="F7" i="3"/>
  <c r="F8" i="3"/>
  <c r="F9" i="3"/>
  <c r="F5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10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10" i="3"/>
  <c r="E9" i="7" l="1"/>
  <c r="E8" i="7"/>
  <c r="F13" i="5"/>
  <c r="F9" i="5"/>
  <c r="F10" i="5"/>
  <c r="F8" i="5"/>
  <c r="F12" i="3"/>
  <c r="F13" i="3"/>
  <c r="F14" i="3"/>
  <c r="F15" i="3"/>
  <c r="F17" i="3"/>
  <c r="F18" i="3"/>
  <c r="F19" i="3"/>
  <c r="F20" i="3"/>
  <c r="F21" i="3"/>
  <c r="F23" i="3"/>
  <c r="F24" i="3"/>
  <c r="F10" i="3"/>
  <c r="F11" i="3"/>
  <c r="F16" i="3"/>
  <c r="F22" i="3"/>
</calcChain>
</file>

<file path=xl/sharedStrings.xml><?xml version="1.0" encoding="utf-8"?>
<sst xmlns="http://schemas.openxmlformats.org/spreadsheetml/2006/main" count="489" uniqueCount="176">
  <si>
    <t>Task - 1 : Employee Sheet – Basic Formatting</t>
  </si>
  <si>
    <t>Employee ID</t>
  </si>
  <si>
    <t>Name</t>
  </si>
  <si>
    <t>Department</t>
  </si>
  <si>
    <t>Salary</t>
  </si>
  <si>
    <t>Joining Date</t>
  </si>
  <si>
    <t>Amit Sharma</t>
  </si>
  <si>
    <t>HR</t>
  </si>
  <si>
    <t>IT</t>
  </si>
  <si>
    <t>Rahul Mehta</t>
  </si>
  <si>
    <t>Finance</t>
  </si>
  <si>
    <t>Ankit Patel</t>
  </si>
  <si>
    <t>Sales</t>
  </si>
  <si>
    <t>E 101</t>
  </si>
  <si>
    <t>E 102</t>
  </si>
  <si>
    <t>E 103</t>
  </si>
  <si>
    <t>E 104</t>
  </si>
  <si>
    <t>E 105</t>
  </si>
  <si>
    <t>E 106</t>
  </si>
  <si>
    <t>E 107</t>
  </si>
  <si>
    <t>E 108</t>
  </si>
  <si>
    <t>E 109</t>
  </si>
  <si>
    <t>E 110</t>
  </si>
  <si>
    <t>E 111</t>
  </si>
  <si>
    <t>E 112</t>
  </si>
  <si>
    <t>E 113</t>
  </si>
  <si>
    <t>E 114</t>
  </si>
  <si>
    <t>E 115</t>
  </si>
  <si>
    <t>E 116</t>
  </si>
  <si>
    <t>E 117</t>
  </si>
  <si>
    <t>E 118</t>
  </si>
  <si>
    <t>E 119</t>
  </si>
  <si>
    <t>E 120</t>
  </si>
  <si>
    <t>Nehal Verma</t>
  </si>
  <si>
    <t>Pooja singh</t>
  </si>
  <si>
    <t>Product Name</t>
  </si>
  <si>
    <t>Region</t>
  </si>
  <si>
    <t>Sales Amount</t>
  </si>
  <si>
    <t>Sales Person</t>
  </si>
  <si>
    <t>Laptop Dell Inspiron 15</t>
  </si>
  <si>
    <t>HP Wireless Mouse</t>
  </si>
  <si>
    <t>Samsung 24-inch Monitor</t>
  </si>
  <si>
    <t>Lenovo ThinkPad E14 Laptop</t>
  </si>
  <si>
    <t>North</t>
  </si>
  <si>
    <t>West</t>
  </si>
  <si>
    <t>East</t>
  </si>
  <si>
    <t>South</t>
  </si>
  <si>
    <t>NO.</t>
  </si>
  <si>
    <t>Ramesh</t>
  </si>
  <si>
    <t>Sneha</t>
  </si>
  <si>
    <t>Kavita</t>
  </si>
  <si>
    <t>Arjun</t>
  </si>
  <si>
    <r>
      <t xml:space="preserve">                                          </t>
    </r>
    <r>
      <rPr>
        <sz val="18"/>
        <color theme="1"/>
        <rFont val="Calibri"/>
        <family val="2"/>
        <scheme val="minor"/>
      </rPr>
      <t xml:space="preserve">                 Task 2: Monthly Sales Report</t>
    </r>
  </si>
  <si>
    <t>Task - 3 :-Student Marks Sheet -Formatting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</si>
  <si>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</si>
  <si>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</si>
  <si>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</si>
  <si>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</si>
  <si>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</si>
  <si>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</si>
  <si>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</si>
  <si>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</si>
  <si>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</si>
  <si>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</si>
  <si>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</si>
  <si>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 - 4 :- 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</si>
  <si>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</si>
  <si>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</si>
  <si>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</si>
  <si>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</si>
  <si>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</si>
  <si>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</si>
  <si>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</si>
  <si>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</si>
  <si>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</si>
  <si>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</si>
  <si>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</si>
  <si>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</si>
  <si>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</si>
  <si>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</si>
  <si>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</si>
  <si>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</si>
  <si>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</si>
  <si>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</si>
  <si>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</si>
  <si>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</si>
  <si>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</si>
  <si>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</si>
  <si>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 xml:space="preserve">Total = </t>
  </si>
  <si>
    <t>Average =</t>
  </si>
  <si>
    <t>Highest Sales=</t>
  </si>
  <si>
    <t>Lowest Sales=</t>
  </si>
  <si>
    <t>Task 5: Department-wise Salary Analysis</t>
  </si>
  <si>
    <t>Employee Name</t>
  </si>
  <si>
    <t>Suresh</t>
  </si>
  <si>
    <t>Meena</t>
  </si>
  <si>
    <t>Karan</t>
  </si>
  <si>
    <t>Ritu</t>
  </si>
  <si>
    <t>Aman</t>
  </si>
  <si>
    <t>Neel</t>
  </si>
  <si>
    <t>HR=</t>
  </si>
  <si>
    <t>IT=</t>
  </si>
  <si>
    <t>Finance=</t>
  </si>
  <si>
    <t>Total Salary Per Depart.</t>
  </si>
  <si>
    <t xml:space="preserve">Average  Salary  </t>
  </si>
  <si>
    <t>Count employees</t>
  </si>
  <si>
    <t>Task 6: Attendance Sheet – COUNTIF</t>
  </si>
  <si>
    <t>Day 1</t>
  </si>
  <si>
    <t>Day 2</t>
  </si>
  <si>
    <t>Day 3</t>
  </si>
  <si>
    <t>Day 4</t>
  </si>
  <si>
    <t>Day 5</t>
  </si>
  <si>
    <t>P</t>
  </si>
  <si>
    <t>A</t>
  </si>
  <si>
    <t>Present =</t>
  </si>
  <si>
    <t>Absent =</t>
  </si>
  <si>
    <t>Task 7: Sales Count Logic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</si>
  <si>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</si>
  <si>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</si>
  <si>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</si>
  <si>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</si>
  <si>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</si>
  <si>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</si>
  <si>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</si>
  <si>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</si>
  <si>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</si>
  <si>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</si>
  <si>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</si>
  <si>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</si>
  <si>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</si>
  <si>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</si>
  <si>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</si>
  <si>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</si>
  <si>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</si>
  <si>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</si>
  <si>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</si>
  <si>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</si>
  <si>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</si>
  <si>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Above=</t>
  </si>
  <si>
    <t>Below=</t>
  </si>
  <si>
    <t>TASK:</t>
  </si>
  <si>
    <t>Count Sales above 10000</t>
  </si>
  <si>
    <t>Count Sales above 5000</t>
  </si>
  <si>
    <t>Task 8: Conditional Formatting – Sales</t>
  </si>
  <si>
    <t>Product</t>
  </si>
  <si>
    <t>Mobile</t>
  </si>
  <si>
    <t>Headphones</t>
  </si>
  <si>
    <t>Laptop</t>
  </si>
  <si>
    <t>Keyboard</t>
  </si>
  <si>
    <t>Tablet</t>
  </si>
  <si>
    <t>Highlight  Sales &gt; 20000 (Green)</t>
  </si>
  <si>
    <t>Highlight Sales &lt; 5000 (Red)</t>
  </si>
  <si>
    <t>Task 9: Student Result Highlight</t>
  </si>
  <si>
    <t>Marks</t>
  </si>
  <si>
    <t>Bharti</t>
  </si>
  <si>
    <t>Chetan</t>
  </si>
  <si>
    <t>Deepa</t>
  </si>
  <si>
    <t>Farhan</t>
  </si>
  <si>
    <t xml:space="preserve"> Marks ≥ 75 → Green</t>
  </si>
  <si>
    <t>Marks &lt; 40 → Red</t>
  </si>
  <si>
    <t>Task 10: Salary Band – Conditional Formatting</t>
  </si>
  <si>
    <t>Rohit</t>
  </si>
  <si>
    <t>Simran</t>
  </si>
  <si>
    <t>Vijay</t>
  </si>
  <si>
    <t>Nisha</t>
  </si>
  <si>
    <t>Mohan</t>
  </si>
  <si>
    <t>30000–49999 → Yellow</t>
  </si>
  <si>
    <t>&lt; 30000 → Light Red</t>
  </si>
  <si>
    <t xml:space="preserve"> ≥ 50000 → Dark Green</t>
  </si>
  <si>
    <t xml:space="preserve"> Format header row (Bold, Color)</t>
  </si>
  <si>
    <t>Salary → Currency (₹)</t>
  </si>
  <si>
    <t>Date → Date format</t>
  </si>
  <si>
    <t>Apply borders and auto-fit columns</t>
  </si>
  <si>
    <t xml:space="preserve"> Calculate Percentage</t>
  </si>
  <si>
    <t>Format percentage column</t>
  </si>
  <si>
    <t>Apply cell styles to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</si>
</sst>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1F2328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1F2328"/>
      <name val="Segoe UI"/>
      <family val="2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rgb="FF1F2328"/>
      <name val="Segoe UI"/>
      <family val="2"/>
    </font>
    <font>
      <b/>
      <sz val="11"/>
      <color rgb="FF1F2328"/>
      <name val="Segoe UI"/>
      <family val="2"/>
    </font>
    <font>
      <u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7" borderId="0" applyNumberFormat="0" applyBorder="0" applyAlignment="0" applyProtection="0"/>
  </cellStyleXfs>
  <cellXfs count="128">
    <xf numFmtId="0" fontId="0" fillId="0" borderId="0" xfId="0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13" borderId="2" xfId="0" applyFont="1" applyFill="1" applyBorder="1" applyAlignment="1">
      <alignment horizontal="left" vertical="center" wrapText="1" indent="1"/>
    </xf>
    <xf numFmtId="14" fontId="2" fillId="4" borderId="1" xfId="0" applyNumberFormat="1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2" fillId="14" borderId="0" xfId="0" applyFont="1" applyFill="1" applyAlignment="1">
      <alignment horizontal="center"/>
    </xf>
    <xf numFmtId="0" fontId="2" fillId="6" borderId="1" xfId="0" applyFont="1" applyFill="1" applyBorder="1"/>
    <xf numFmtId="0" fontId="0" fillId="6" borderId="1" xfId="0" applyFill="1" applyBorder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7" fillId="1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0" fillId="5" borderId="0" xfId="0" applyFill="1"/>
    <xf numFmtId="0" fontId="0" fillId="14" borderId="0" xfId="0" applyFill="1"/>
    <xf numFmtId="0" fontId="18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" fillId="12" borderId="2" xfId="0" applyFont="1" applyFill="1" applyBorder="1" applyAlignment="1">
      <alignment horizontal="left" vertical="center" wrapText="1" indent="1"/>
    </xf>
    <xf numFmtId="0" fontId="0" fillId="0" borderId="0" xfId="0" applyAlignment="1"/>
    <xf numFmtId="0" fontId="0" fillId="0" borderId="0" xfId="0" applyAlignment="1">
      <alignment vertical="top"/>
    </xf>
    <xf numFmtId="0" fontId="0" fillId="6" borderId="0" xfId="0" applyFill="1" applyAlignment="1">
      <alignment vertical="top"/>
    </xf>
    <xf numFmtId="0" fontId="0" fillId="6" borderId="0" xfId="0" applyFill="1" applyAlignment="1"/>
    <xf numFmtId="0" fontId="21" fillId="6" borderId="0" xfId="0" applyFont="1" applyFill="1" applyAlignment="1">
      <alignment horizontal="left"/>
    </xf>
    <xf numFmtId="0" fontId="21" fillId="6" borderId="0" xfId="0" applyFont="1" applyFill="1" applyAlignment="1"/>
    <xf numFmtId="0" fontId="2" fillId="6" borderId="5" xfId="0" applyFont="1" applyFill="1" applyBorder="1" applyAlignment="1">
      <alignment horizontal="left" vertical="center" wrapText="1" indent="1"/>
    </xf>
    <xf numFmtId="0" fontId="2" fillId="6" borderId="6" xfId="0" applyFont="1" applyFill="1" applyBorder="1" applyAlignment="1">
      <alignment horizontal="left" vertical="center" wrapText="1" indent="1"/>
    </xf>
    <xf numFmtId="0" fontId="2" fillId="6" borderId="7" xfId="0" applyFont="1" applyFill="1" applyBorder="1" applyAlignment="1">
      <alignment horizontal="left" vertical="center" wrapText="1" indent="1"/>
    </xf>
    <xf numFmtId="0" fontId="2" fillId="6" borderId="8" xfId="0" applyFont="1" applyFill="1" applyBorder="1" applyAlignment="1">
      <alignment horizontal="left" vertical="center" wrapText="1" indent="1"/>
    </xf>
    <xf numFmtId="0" fontId="15" fillId="2" borderId="0" xfId="0" applyFont="1" applyFill="1" applyAlignment="1">
      <alignment horizontal="center"/>
    </xf>
    <xf numFmtId="0" fontId="22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20" fillId="14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left" vertical="center" wrapText="1" indent="1"/>
    </xf>
    <xf numFmtId="0" fontId="2" fillId="9" borderId="6" xfId="0" applyFont="1" applyFill="1" applyBorder="1" applyAlignment="1">
      <alignment horizontal="left" vertical="center" wrapText="1" indent="1"/>
    </xf>
    <xf numFmtId="0" fontId="2" fillId="9" borderId="7" xfId="0" applyFont="1" applyFill="1" applyBorder="1" applyAlignment="1">
      <alignment horizontal="left" vertical="center" wrapText="1" indent="1"/>
    </xf>
    <xf numFmtId="0" fontId="2" fillId="9" borderId="8" xfId="0" applyFont="1" applyFill="1" applyBorder="1" applyAlignment="1">
      <alignment horizontal="left" vertical="center" wrapText="1" indent="1"/>
    </xf>
    <xf numFmtId="0" fontId="21" fillId="5" borderId="0" xfId="0" applyFont="1" applyFill="1" applyAlignment="1"/>
    <xf numFmtId="0" fontId="0" fillId="5" borderId="0" xfId="0" applyFill="1" applyAlignment="1">
      <alignment vertical="top"/>
    </xf>
    <xf numFmtId="0" fontId="0" fillId="5" borderId="0" xfId="0" applyFill="1" applyAlignment="1"/>
    <xf numFmtId="0" fontId="2" fillId="4" borderId="1" xfId="0" applyFont="1" applyFill="1" applyBorder="1" applyAlignment="1">
      <alignment horizontal="center" vertical="top" wrapText="1"/>
    </xf>
    <xf numFmtId="0" fontId="0" fillId="5" borderId="0" xfId="0" applyFill="1" applyAlignment="1">
      <alignment horizontal="left"/>
    </xf>
    <xf numFmtId="0" fontId="2" fillId="12" borderId="9" xfId="0" applyFont="1" applyFill="1" applyBorder="1" applyAlignment="1">
      <alignment horizontal="left" vertical="center" wrapText="1" indent="1"/>
    </xf>
    <xf numFmtId="0" fontId="15" fillId="3" borderId="0" xfId="0" applyFont="1" applyFill="1" applyAlignment="1">
      <alignment horizontal="center"/>
    </xf>
    <xf numFmtId="0" fontId="0" fillId="4" borderId="5" xfId="0" applyFill="1" applyBorder="1" applyAlignment="1">
      <alignment horizontal="center"/>
    </xf>
    <xf numFmtId="165" fontId="0" fillId="4" borderId="6" xfId="0" applyNumberForma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165" fontId="4" fillId="3" borderId="4" xfId="0" applyNumberFormat="1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64" fontId="0" fillId="4" borderId="11" xfId="0" applyNumberFormat="1" applyFill="1" applyBorder="1" applyAlignment="1">
      <alignment horizontal="center"/>
    </xf>
    <xf numFmtId="165" fontId="0" fillId="4" borderId="8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1" xfId="0" applyFill="1" applyBorder="1"/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9" fontId="0" fillId="9" borderId="6" xfId="1" applyFont="1" applyFill="1" applyBorder="1" applyAlignment="1">
      <alignment horizontal="center" vertical="center"/>
    </xf>
    <xf numFmtId="0" fontId="8" fillId="7" borderId="3" xfId="2" applyBorder="1" applyAlignment="1">
      <alignment horizontal="center" vertical="center"/>
    </xf>
    <xf numFmtId="0" fontId="8" fillId="7" borderId="10" xfId="2" applyBorder="1" applyAlignment="1">
      <alignment horizontal="center" vertical="center"/>
    </xf>
    <xf numFmtId="0" fontId="8" fillId="7" borderId="4" xfId="2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9" fontId="0" fillId="9" borderId="8" xfId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4" fontId="2" fillId="4" borderId="11" xfId="0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6" borderId="5" xfId="0" applyFont="1" applyFill="1" applyBorder="1"/>
    <xf numFmtId="0" fontId="2" fillId="6" borderId="6" xfId="0" applyFont="1" applyFill="1" applyBorder="1"/>
    <xf numFmtId="0" fontId="0" fillId="6" borderId="6" xfId="0" applyFill="1" applyBorder="1"/>
    <xf numFmtId="0" fontId="16" fillId="2" borderId="3" xfId="0" applyFont="1" applyFill="1" applyBorder="1"/>
    <xf numFmtId="0" fontId="16" fillId="2" borderId="10" xfId="0" applyFont="1" applyFill="1" applyBorder="1"/>
    <xf numFmtId="0" fontId="16" fillId="2" borderId="4" xfId="0" applyFont="1" applyFill="1" applyBorder="1"/>
    <xf numFmtId="0" fontId="2" fillId="6" borderId="7" xfId="0" applyFont="1" applyFill="1" applyBorder="1"/>
    <xf numFmtId="0" fontId="2" fillId="6" borderId="11" xfId="0" applyFont="1" applyFill="1" applyBorder="1"/>
    <xf numFmtId="0" fontId="0" fillId="6" borderId="8" xfId="0" applyFill="1" applyBorder="1"/>
    <xf numFmtId="0" fontId="2" fillId="9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top"/>
    </xf>
    <xf numFmtId="0" fontId="19" fillId="3" borderId="3" xfId="0" applyFont="1" applyFill="1" applyBorder="1" applyAlignment="1">
      <alignment horizontal="center" vertical="top" wrapText="1"/>
    </xf>
    <xf numFmtId="0" fontId="19" fillId="3" borderId="10" xfId="0" applyFont="1" applyFill="1" applyBorder="1" applyAlignment="1">
      <alignment horizontal="center" vertical="top" wrapText="1"/>
    </xf>
    <xf numFmtId="0" fontId="19" fillId="3" borderId="4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11" xfId="0" applyFont="1" applyFill="1" applyBorder="1" applyAlignment="1">
      <alignment horizontal="center" vertical="top" wrapText="1"/>
    </xf>
    <xf numFmtId="0" fontId="0" fillId="4" borderId="8" xfId="0" applyFill="1" applyBorder="1" applyAlignment="1">
      <alignment horizontal="center" vertical="top"/>
    </xf>
    <xf numFmtId="0" fontId="2" fillId="18" borderId="5" xfId="0" applyFont="1" applyFill="1" applyBorder="1" applyAlignment="1">
      <alignment horizontal="left" vertical="center" wrapText="1" indent="1"/>
    </xf>
    <xf numFmtId="0" fontId="2" fillId="18" borderId="6" xfId="0" applyFont="1" applyFill="1" applyBorder="1" applyAlignment="1">
      <alignment horizontal="left" vertical="center" wrapText="1" indent="1"/>
    </xf>
    <xf numFmtId="0" fontId="20" fillId="19" borderId="3" xfId="0" applyFont="1" applyFill="1" applyBorder="1" applyAlignment="1">
      <alignment horizontal="center" vertical="center" wrapText="1"/>
    </xf>
    <xf numFmtId="0" fontId="20" fillId="19" borderId="4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left" vertical="center" wrapText="1" indent="1"/>
    </xf>
    <xf numFmtId="0" fontId="2" fillId="18" borderId="8" xfId="0" applyFont="1" applyFill="1" applyBorder="1" applyAlignment="1">
      <alignment horizontal="left" vertical="center" wrapText="1" indent="1"/>
    </xf>
  </cellXfs>
  <cellStyles count="3">
    <cellStyle name="Neutral" xfId="2" builtinId="28"/>
    <cellStyle name="Normal" xfId="0" builtinId="0"/>
    <cellStyle name="Percent" xfId="1" builtinId="5"/>
  </cellStyles>
  <dxfs count="9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Segoe UI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numFmt numFmtId="164" formatCode="&quot;₹&quot;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[$-14009]dd/mm/yyyy;@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Segoe U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Segoe U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8A5B98-B208-4C7B-ADF1-839D15662227}" name="Table4" displayName="Table4" ref="A4:E24" totalsRowShown="0" headerRowDxfId="65" headerRowBorderDxfId="72" tableBorderDxfId="73" totalsRowBorderDxfId="71">
  <autoFilter ref="A4:E24" xr:uid="{BC8A5B98-B208-4C7B-ADF1-839D15662227}"/>
  <tableColumns count="5">
    <tableColumn id="1" xr3:uid="{02E99F66-4240-4983-9907-7418B65DF6F4}" name="Employee ID" dataDxfId="70"/>
    <tableColumn id="2" xr3:uid="{460C3C5B-0DF0-4123-B71B-4AAB6B71E62C}" name="Name" dataDxfId="69"/>
    <tableColumn id="3" xr3:uid="{289AFF72-16B8-4BBF-82E0-D44F9FECFF35}" name="Department" dataDxfId="68"/>
    <tableColumn id="4" xr3:uid="{EBFA18D0-DD66-40C4-86BA-4E56F643FF2D}" name="Salary" dataDxfId="67"/>
    <tableColumn id="5" xr3:uid="{461DD86D-38C3-46BA-85BA-BA955E2FFAD7}" name="Joining Date" dataDxfId="6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785936-F63A-4DBF-B574-2C8591791A2A}" name="Table5" displayName="Table5" ref="A4:E24" totalsRowShown="0" headerRowDxfId="49" headerRowBorderDxfId="56" tableBorderDxfId="57" totalsRowBorderDxfId="55">
  <autoFilter ref="A4:E24" xr:uid="{FB785936-F63A-4DBF-B574-2C8591791A2A}"/>
  <tableColumns count="5">
    <tableColumn id="1" xr3:uid="{F30FF104-1BE4-43CA-9768-A72E97D5B0E2}" name="NO." dataDxfId="54"/>
    <tableColumn id="2" xr3:uid="{F406C212-AA16-4647-939B-E1F6666CD724}" name="Product Name" dataDxfId="53"/>
    <tableColumn id="3" xr3:uid="{93871C15-7F8F-4CC3-9F9A-68B38451BC04}" name="Region" dataDxfId="52"/>
    <tableColumn id="4" xr3:uid="{CBD4E09C-0DC2-442B-9666-C3B9AD49D616}" name="Sales Amount" dataDxfId="51"/>
    <tableColumn id="5" xr3:uid="{CD213573-03C2-4983-9384-92012006A9FF}" name="Sales Person" dataDxfId="50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30C401-F767-414B-913F-540756B4AB9A}" name="Table6" displayName="Table6" ref="A4:F24" totalsRowShown="0" headerRowDxfId="38" dataDxfId="39" headerRowBorderDxfId="47" tableBorderDxfId="48" totalsRowBorderDxfId="46" headerRowCellStyle="Neutral">
  <autoFilter ref="A4:F24" xr:uid="{9D30C401-F767-414B-913F-540756B4AB9A}"/>
  <tableColumns count="6">
    <tableColumn id="1" xr3:uid="{09D4727E-E686-4511-AD22-25470689C3F9}" name="Roll No" dataDxfId="45"/>
    <tableColumn id="2" xr3:uid="{33C8E650-2763-4DE3-A586-4779DEC9B598}" name="Student Name" dataDxfId="44"/>
    <tableColumn id="3" xr3:uid="{9027E48A-AC66-4D5E-BE12-C1ED331B84E4}" name="Maths" dataDxfId="43">
      <calculatedColumnFormula>RANDBETWEEN(40,100)</calculatedColumnFormula>
    </tableColumn>
    <tableColumn id="4" xr3:uid="{9A2013BC-E4E3-4894-BD1D-1B2A316838AA}" name="Science" dataDxfId="42">
      <calculatedColumnFormula>RANDBETWEEN(30,100)</calculatedColumnFormula>
    </tableColumn>
    <tableColumn id="5" xr3:uid="{98F36A43-8CE6-4B34-A52D-52A13E271F61}" name="English" dataDxfId="41">
      <calculatedColumnFormula>RANDBETWEEN(40,100)</calculatedColumnFormula>
    </tableColumn>
    <tableColumn id="6" xr3:uid="{E73CDEF4-C46F-420D-8E36-E4AA4EC771DC}" name="Percentage" dataDxfId="40" dataCellStyle="Percent">
      <calculatedColumnFormula>AVERAGE(C5:E5)</calculatedColumnFormula>
    </tableColumn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E34065-9714-4D0D-9B15-5F7C63C833A2}" name="Table7" displayName="Table7" ref="A4:C24" totalsRowShown="0" headerRowDxfId="31" headerRowBorderDxfId="36" tableBorderDxfId="37" totalsRowBorderDxfId="35">
  <autoFilter ref="A4:C24" xr:uid="{ACE34065-9714-4D0D-9B15-5F7C63C833A2}"/>
  <tableColumns count="3">
    <tableColumn id="1" xr3:uid="{17D100A1-2E0C-4138-966C-C28EA43B9630}" name="Invoice No" dataDxfId="34"/>
    <tableColumn id="2" xr3:uid="{85BF4273-C9B2-4798-A875-898345D846D1}" name="Date" dataDxfId="33"/>
    <tableColumn id="3" xr3:uid="{B232E651-EC49-4020-AC17-F51EDB562C22}" name="Sales Amount" dataDxfId="32"/>
  </tableColumns>
  <tableStyleInfo name="TableStyleMedium2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DB1138-6AE3-4660-94F3-39D8C5A04839}" name="Table8" displayName="Table8" ref="A5:C26" totalsRowShown="0" headerRowDxfId="24" headerRowBorderDxfId="29" tableBorderDxfId="30" totalsRowBorderDxfId="28">
  <autoFilter ref="A5:C26" xr:uid="{5ADB1138-6AE3-4660-94F3-39D8C5A04839}"/>
  <tableColumns count="3">
    <tableColumn id="1" xr3:uid="{822D24E0-6466-4286-BA70-CB4E18343E92}" name="Employee Name" dataDxfId="27"/>
    <tableColumn id="2" xr3:uid="{4C70260C-30F4-44E1-8BB0-BE97A1A98B06}" name="Department" dataDxfId="26"/>
    <tableColumn id="3" xr3:uid="{5FED57CD-1D12-43D1-858D-BAC0FBB777BF}" name="Salary" dataDxfId="25">
      <calculatedColumnFormula>RANDBETWEEN(15000,40000)</calculatedColumnFormula>
    </tableColumn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2B9F1D-972F-49E6-90C6-B4308BAF0BBF}" name="Table9" displayName="Table9" ref="A4:F24" totalsRowShown="0" headerRowDxfId="13" dataDxfId="14" headerRowBorderDxfId="22" tableBorderDxfId="23" totalsRowBorderDxfId="21">
  <autoFilter ref="A4:F24" xr:uid="{902B9F1D-972F-49E6-90C6-B4308BAF0BBF}"/>
  <tableColumns count="6">
    <tableColumn id="1" xr3:uid="{3EDF0D93-7988-4A3B-A888-326295DED575}" name="Student Name" dataDxfId="20"/>
    <tableColumn id="2" xr3:uid="{5952E2B4-F9A1-4478-938A-C38C3CC841AC}" name="Day 1" dataDxfId="19"/>
    <tableColumn id="3" xr3:uid="{B4986281-3A0D-48DF-BA27-C99744778D3D}" name="Day 2" dataDxfId="18"/>
    <tableColumn id="4" xr3:uid="{A19297C9-30FC-4B66-AE4C-0544462F7FB5}" name="Day 3" dataDxfId="17"/>
    <tableColumn id="5" xr3:uid="{CCE67548-6211-4624-BF2C-6C96CD5DC13B}" name="Day 4" dataDxfId="16"/>
    <tableColumn id="6" xr3:uid="{651553E3-AEC9-4CB1-842A-C1B6F704A8E3}" name="Day 5" dataDxfId="15"/>
  </tableColumns>
  <tableStyleInfo name="TableStyleLight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CC0324-2F27-4798-85BD-DD029AB6FF2C}" name="Table2" displayName="Table2" ref="A5:B25" totalsRowShown="0" headerRowDxfId="80" dataDxfId="77" headerRowBorderDxfId="89" tableBorderDxfId="90" totalsRowBorderDxfId="88">
  <autoFilter ref="A5:B25" xr:uid="{E0CC0324-2F27-4798-85BD-DD029AB6FF2C}"/>
  <tableColumns count="2">
    <tableColumn id="1" xr3:uid="{16C1DB17-B23C-4A53-9692-8F857586AD99}" name="Order ID" dataDxfId="79"/>
    <tableColumn id="2" xr3:uid="{746D624A-3A73-47C0-9D4F-DAA398D54AAA}" name="Sales Amount" dataDxfId="78">
      <calculatedColumnFormula>RANDBETWEEN(3000,16000)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D9571E-962B-492C-936B-63F0779E377A}" name="Table3" displayName="Table3" ref="A5:B25" totalsRowShown="0" headerRowDxfId="81" dataDxfId="82" headerRowBorderDxfId="86" tableBorderDxfId="87" totalsRowBorderDxfId="85">
  <autoFilter ref="A5:B25" xr:uid="{C1D9571E-962B-492C-936B-63F0779E377A}"/>
  <tableColumns count="2">
    <tableColumn id="1" xr3:uid="{B55985C0-4B77-4FE2-882B-B67AB88D53E0}" name="Product" dataDxfId="84"/>
    <tableColumn id="2" xr3:uid="{A26AAE57-9253-4EFA-AE48-FAF909D3CFCE}" name="Sales Amount" dataDxfId="83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68290A-6FCB-4072-B7F9-B8E86736DA43}" name="Table10" displayName="Table10" ref="A5:C25" totalsRowShown="0" headerRowDxfId="6" headerRowBorderDxfId="11" tableBorderDxfId="12" totalsRowBorderDxfId="10">
  <autoFilter ref="A5:C25" xr:uid="{4B68290A-6FCB-4072-B7F9-B8E86736DA43}"/>
  <tableColumns count="3">
    <tableColumn id="1" xr3:uid="{DE7535ED-3624-4601-96B1-1CCDCB42886D}" name="Roll No" dataDxfId="9"/>
    <tableColumn id="2" xr3:uid="{A432C0BA-FAFA-4629-905A-0C8A546DA71F}" name="Name" dataDxfId="8"/>
    <tableColumn id="3" xr3:uid="{C01AAF85-1A7C-4E69-A992-42E64128A815}" name="Marks" dataDxfId="7">
      <calculatedColumnFormula>RANDBETWEEN(25,90)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DC8458-549E-4440-A580-0AC78940ECAC}" name="Table11" displayName="Table11" ref="A5:B25" totalsRowShown="0" headerRowDxfId="0" headerRowBorderDxfId="4" tableBorderDxfId="5" totalsRowBorderDxfId="3">
  <autoFilter ref="A5:B25" xr:uid="{A9DC8458-549E-4440-A580-0AC78940ECAC}"/>
  <tableColumns count="2">
    <tableColumn id="1" xr3:uid="{5030711A-66E1-46CA-B9F3-7B6DB93C55ED}" name="Employee Name" dataDxfId="2"/>
    <tableColumn id="2" xr3:uid="{52BDAB1A-1F3F-4900-ABF9-8292BECE252E}" name="Salary" dataDxfId="1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EF23-23A4-471F-8A57-77AFB6083C96}">
  <dimension ref="A1:N24"/>
  <sheetViews>
    <sheetView workbookViewId="0">
      <selection activeCell="I7" sqref="I7:K11"/>
    </sheetView>
  </sheetViews>
  <sheetFormatPr defaultRowHeight="14.4" x14ac:dyDescent="0.3"/>
  <cols>
    <col min="1" max="1" width="14.5546875" customWidth="1"/>
    <col min="2" max="2" width="11.5546875" bestFit="1" customWidth="1"/>
    <col min="3" max="3" width="14.21875" customWidth="1"/>
    <col min="4" max="4" width="10.44140625" bestFit="1" customWidth="1"/>
    <col min="5" max="5" width="14.44140625" customWidth="1"/>
    <col min="8" max="8" width="6.6640625" customWidth="1"/>
    <col min="11" max="11" width="12.33203125" customWidth="1"/>
  </cols>
  <sheetData>
    <row r="1" spans="1:14" x14ac:dyDescent="0.3">
      <c r="J1" s="10" t="s">
        <v>0</v>
      </c>
      <c r="K1" s="10"/>
      <c r="L1" s="10"/>
      <c r="M1" s="10"/>
      <c r="N1" s="10"/>
    </row>
    <row r="2" spans="1:14" x14ac:dyDescent="0.3">
      <c r="J2" s="10"/>
      <c r="K2" s="10"/>
      <c r="L2" s="10"/>
      <c r="M2" s="10"/>
      <c r="N2" s="10"/>
    </row>
    <row r="4" spans="1:14" ht="15.6" x14ac:dyDescent="0.3">
      <c r="A4" s="59" t="s">
        <v>1</v>
      </c>
      <c r="B4" s="60" t="s">
        <v>2</v>
      </c>
      <c r="C4" s="60" t="s">
        <v>3</v>
      </c>
      <c r="D4" s="60" t="s">
        <v>4</v>
      </c>
      <c r="E4" s="61" t="s">
        <v>5</v>
      </c>
    </row>
    <row r="5" spans="1:14" x14ac:dyDescent="0.3">
      <c r="A5" s="57" t="s">
        <v>13</v>
      </c>
      <c r="B5" s="1" t="s">
        <v>6</v>
      </c>
      <c r="C5" s="1" t="s">
        <v>7</v>
      </c>
      <c r="D5" s="2">
        <v>32000</v>
      </c>
      <c r="E5" s="58">
        <v>44573</v>
      </c>
    </row>
    <row r="6" spans="1:14" x14ac:dyDescent="0.3">
      <c r="A6" s="57" t="s">
        <v>14</v>
      </c>
      <c r="B6" s="1" t="s">
        <v>33</v>
      </c>
      <c r="C6" s="1" t="s">
        <v>8</v>
      </c>
      <c r="D6" s="2">
        <v>45000</v>
      </c>
      <c r="E6" s="58">
        <v>44209</v>
      </c>
    </row>
    <row r="7" spans="1:14" ht="21" x14ac:dyDescent="0.4">
      <c r="A7" s="57" t="s">
        <v>15</v>
      </c>
      <c r="B7" s="1" t="s">
        <v>9</v>
      </c>
      <c r="C7" s="1" t="s">
        <v>10</v>
      </c>
      <c r="D7" s="2">
        <v>38000</v>
      </c>
      <c r="E7" s="58">
        <v>44575</v>
      </c>
      <c r="I7" s="50" t="s">
        <v>140</v>
      </c>
      <c r="J7" s="50"/>
      <c r="K7" s="50"/>
    </row>
    <row r="8" spans="1:14" x14ac:dyDescent="0.3">
      <c r="A8" s="57" t="s">
        <v>16</v>
      </c>
      <c r="B8" s="1" t="s">
        <v>34</v>
      </c>
      <c r="C8" s="1" t="s">
        <v>8</v>
      </c>
      <c r="D8" s="2">
        <v>52000</v>
      </c>
      <c r="E8" s="58">
        <v>43480</v>
      </c>
      <c r="I8" s="51" t="s">
        <v>169</v>
      </c>
      <c r="J8" s="51"/>
      <c r="K8" s="51"/>
    </row>
    <row r="9" spans="1:14" x14ac:dyDescent="0.3">
      <c r="A9" s="57" t="s">
        <v>17</v>
      </c>
      <c r="B9" s="1" t="s">
        <v>11</v>
      </c>
      <c r="C9" s="1" t="s">
        <v>12</v>
      </c>
      <c r="D9" s="2">
        <v>30000</v>
      </c>
      <c r="E9" s="58">
        <v>44577</v>
      </c>
      <c r="I9" s="52" t="s">
        <v>170</v>
      </c>
      <c r="J9" s="52"/>
      <c r="K9" s="52"/>
    </row>
    <row r="10" spans="1:14" x14ac:dyDescent="0.3">
      <c r="A10" s="57" t="s">
        <v>18</v>
      </c>
      <c r="B10" s="1" t="s">
        <v>6</v>
      </c>
      <c r="C10" s="1" t="s">
        <v>10</v>
      </c>
      <c r="D10" s="2">
        <v>52000</v>
      </c>
      <c r="E10" s="58">
        <v>43847</v>
      </c>
      <c r="I10" s="54" t="s">
        <v>171</v>
      </c>
      <c r="J10" s="54"/>
      <c r="K10" s="54"/>
    </row>
    <row r="11" spans="1:14" x14ac:dyDescent="0.3">
      <c r="A11" s="57" t="s">
        <v>19</v>
      </c>
      <c r="B11" s="1" t="s">
        <v>34</v>
      </c>
      <c r="C11" s="1" t="s">
        <v>8</v>
      </c>
      <c r="D11" s="2">
        <v>38000</v>
      </c>
      <c r="E11" s="58">
        <v>44579</v>
      </c>
      <c r="I11" s="66" t="s">
        <v>172</v>
      </c>
      <c r="J11" s="66"/>
      <c r="K11" s="66"/>
    </row>
    <row r="12" spans="1:14" x14ac:dyDescent="0.3">
      <c r="A12" s="57" t="s">
        <v>20</v>
      </c>
      <c r="B12" s="1" t="s">
        <v>33</v>
      </c>
      <c r="C12" s="1" t="s">
        <v>10</v>
      </c>
      <c r="D12" s="2">
        <v>45000</v>
      </c>
      <c r="E12" s="58">
        <v>42754</v>
      </c>
    </row>
    <row r="13" spans="1:14" x14ac:dyDescent="0.3">
      <c r="A13" s="57" t="s">
        <v>21</v>
      </c>
      <c r="B13" s="1" t="s">
        <v>11</v>
      </c>
      <c r="C13" s="1" t="s">
        <v>7</v>
      </c>
      <c r="D13" s="2">
        <v>52000</v>
      </c>
      <c r="E13" s="58">
        <v>44946</v>
      </c>
    </row>
    <row r="14" spans="1:14" x14ac:dyDescent="0.3">
      <c r="A14" s="57" t="s">
        <v>22</v>
      </c>
      <c r="B14" s="1" t="s">
        <v>34</v>
      </c>
      <c r="C14" s="1" t="s">
        <v>10</v>
      </c>
      <c r="D14" s="2">
        <v>32000</v>
      </c>
      <c r="E14" s="58">
        <v>44582</v>
      </c>
    </row>
    <row r="15" spans="1:14" x14ac:dyDescent="0.3">
      <c r="A15" s="57" t="s">
        <v>23</v>
      </c>
      <c r="B15" s="1" t="s">
        <v>6</v>
      </c>
      <c r="C15" s="1" t="s">
        <v>8</v>
      </c>
      <c r="D15" s="2">
        <v>45000</v>
      </c>
      <c r="E15" s="58">
        <v>46044</v>
      </c>
    </row>
    <row r="16" spans="1:14" x14ac:dyDescent="0.3">
      <c r="A16" s="57" t="s">
        <v>24</v>
      </c>
      <c r="B16" s="1" t="s">
        <v>6</v>
      </c>
      <c r="C16" s="1" t="s">
        <v>7</v>
      </c>
      <c r="D16" s="2">
        <v>38000</v>
      </c>
      <c r="E16" s="58">
        <v>44584</v>
      </c>
    </row>
    <row r="17" spans="1:5" x14ac:dyDescent="0.3">
      <c r="A17" s="57" t="s">
        <v>25</v>
      </c>
      <c r="B17" s="1" t="s">
        <v>11</v>
      </c>
      <c r="C17" s="1" t="s">
        <v>10</v>
      </c>
      <c r="D17" s="2">
        <v>52000</v>
      </c>
      <c r="E17" s="58">
        <v>44220</v>
      </c>
    </row>
    <row r="18" spans="1:5" x14ac:dyDescent="0.3">
      <c r="A18" s="57" t="s">
        <v>26</v>
      </c>
      <c r="B18" s="1" t="s">
        <v>34</v>
      </c>
      <c r="C18" s="1" t="s">
        <v>8</v>
      </c>
      <c r="D18" s="2">
        <v>52000</v>
      </c>
      <c r="E18" s="58">
        <v>42394</v>
      </c>
    </row>
    <row r="19" spans="1:5" x14ac:dyDescent="0.3">
      <c r="A19" s="57" t="s">
        <v>27</v>
      </c>
      <c r="B19" s="1" t="s">
        <v>11</v>
      </c>
      <c r="C19" s="1" t="s">
        <v>8</v>
      </c>
      <c r="D19" s="2">
        <v>45000</v>
      </c>
      <c r="E19" s="58">
        <v>44587</v>
      </c>
    </row>
    <row r="20" spans="1:5" x14ac:dyDescent="0.3">
      <c r="A20" s="57" t="s">
        <v>28</v>
      </c>
      <c r="B20" s="1" t="s">
        <v>33</v>
      </c>
      <c r="C20" s="1" t="s">
        <v>8</v>
      </c>
      <c r="D20" s="2">
        <v>38000</v>
      </c>
      <c r="E20" s="58">
        <v>43127</v>
      </c>
    </row>
    <row r="21" spans="1:5" x14ac:dyDescent="0.3">
      <c r="A21" s="57" t="s">
        <v>29</v>
      </c>
      <c r="B21" s="1" t="s">
        <v>33</v>
      </c>
      <c r="C21" s="1" t="s">
        <v>12</v>
      </c>
      <c r="D21" s="2">
        <v>30000</v>
      </c>
      <c r="E21" s="58">
        <v>44589</v>
      </c>
    </row>
    <row r="22" spans="1:5" x14ac:dyDescent="0.3">
      <c r="A22" s="57" t="s">
        <v>30</v>
      </c>
      <c r="B22" s="1" t="s">
        <v>11</v>
      </c>
      <c r="C22" s="1" t="s">
        <v>8</v>
      </c>
      <c r="D22" s="2">
        <v>45000</v>
      </c>
      <c r="E22" s="58">
        <v>43494</v>
      </c>
    </row>
    <row r="23" spans="1:5" x14ac:dyDescent="0.3">
      <c r="A23" s="57" t="s">
        <v>31</v>
      </c>
      <c r="B23" s="1" t="s">
        <v>34</v>
      </c>
      <c r="C23" s="1" t="s">
        <v>12</v>
      </c>
      <c r="D23" s="2">
        <v>52000</v>
      </c>
      <c r="E23" s="58">
        <v>45321</v>
      </c>
    </row>
    <row r="24" spans="1:5" x14ac:dyDescent="0.3">
      <c r="A24" s="62" t="s">
        <v>32</v>
      </c>
      <c r="B24" s="63" t="s">
        <v>9</v>
      </c>
      <c r="C24" s="63" t="s">
        <v>10</v>
      </c>
      <c r="D24" s="64">
        <v>52000</v>
      </c>
      <c r="E24" s="65">
        <v>44592</v>
      </c>
    </row>
  </sheetData>
  <mergeCells count="3">
    <mergeCell ref="J1:N2"/>
    <mergeCell ref="I10:K10"/>
    <mergeCell ref="I11:K1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385A-FE5C-47FB-9784-E09147BA23BE}">
  <dimension ref="A1:R24"/>
  <sheetViews>
    <sheetView zoomScale="57" zoomScaleNormal="90" workbookViewId="0">
      <selection activeCell="A4" sqref="A4:E24"/>
    </sheetView>
  </sheetViews>
  <sheetFormatPr defaultRowHeight="14.4" x14ac:dyDescent="0.3"/>
  <cols>
    <col min="2" max="2" width="18.5546875" style="3" customWidth="1"/>
    <col min="3" max="3" width="10.33203125" customWidth="1"/>
    <col min="4" max="4" width="17.77734375" customWidth="1"/>
    <col min="5" max="5" width="16.33203125" customWidth="1"/>
  </cols>
  <sheetData>
    <row r="1" spans="1:18" ht="14.4" customHeight="1" x14ac:dyDescent="0.3">
      <c r="E1" s="11" t="s">
        <v>52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4.4" customHeight="1" x14ac:dyDescent="0.3"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4" spans="1:18" ht="18" x14ac:dyDescent="0.3">
      <c r="A4" s="71" t="s">
        <v>47</v>
      </c>
      <c r="B4" s="72" t="s">
        <v>35</v>
      </c>
      <c r="C4" s="73" t="s">
        <v>36</v>
      </c>
      <c r="D4" s="73" t="s">
        <v>37</v>
      </c>
      <c r="E4" s="74" t="s">
        <v>38</v>
      </c>
    </row>
    <row r="5" spans="1:18" ht="29.4" customHeight="1" x14ac:dyDescent="0.3">
      <c r="A5" s="69">
        <v>1</v>
      </c>
      <c r="B5" s="5" t="s">
        <v>39</v>
      </c>
      <c r="C5" s="4" t="s">
        <v>43</v>
      </c>
      <c r="D5" s="6">
        <v>45000</v>
      </c>
      <c r="E5" s="70" t="s">
        <v>48</v>
      </c>
      <c r="R5" t="s">
        <v>48</v>
      </c>
    </row>
    <row r="6" spans="1:18" ht="29.4" customHeight="1" x14ac:dyDescent="0.3">
      <c r="A6" s="69">
        <v>2</v>
      </c>
      <c r="B6" s="5" t="s">
        <v>40</v>
      </c>
      <c r="C6" s="4" t="s">
        <v>44</v>
      </c>
      <c r="D6" s="6">
        <v>1200</v>
      </c>
      <c r="E6" s="70" t="s">
        <v>49</v>
      </c>
      <c r="R6" t="s">
        <v>49</v>
      </c>
    </row>
    <row r="7" spans="1:18" ht="29.4" customHeight="1" x14ac:dyDescent="0.3">
      <c r="A7" s="69">
        <v>3</v>
      </c>
      <c r="B7" s="5" t="s">
        <v>41</v>
      </c>
      <c r="C7" s="4" t="s">
        <v>45</v>
      </c>
      <c r="D7" s="6">
        <v>18000</v>
      </c>
      <c r="E7" s="70" t="s">
        <v>50</v>
      </c>
      <c r="R7" t="s">
        <v>50</v>
      </c>
    </row>
    <row r="8" spans="1:18" ht="29.4" customHeight="1" x14ac:dyDescent="0.3">
      <c r="A8" s="69">
        <v>4</v>
      </c>
      <c r="B8" s="5" t="s">
        <v>42</v>
      </c>
      <c r="C8" s="4" t="s">
        <v>46</v>
      </c>
      <c r="D8" s="6">
        <v>62000</v>
      </c>
      <c r="E8" s="70" t="s">
        <v>51</v>
      </c>
      <c r="R8" t="s">
        <v>51</v>
      </c>
    </row>
    <row r="9" spans="1:18" ht="29.4" customHeight="1" x14ac:dyDescent="0.3">
      <c r="A9" s="69">
        <v>5</v>
      </c>
      <c r="B9" s="5" t="s">
        <v>39</v>
      </c>
      <c r="C9" s="4" t="s">
        <v>43</v>
      </c>
      <c r="D9" s="6">
        <v>25000</v>
      </c>
      <c r="E9" s="70" t="s">
        <v>48</v>
      </c>
    </row>
    <row r="10" spans="1:18" ht="29.4" customHeight="1" x14ac:dyDescent="0.3">
      <c r="A10" s="69">
        <v>6</v>
      </c>
      <c r="B10" s="5" t="s">
        <v>40</v>
      </c>
      <c r="C10" s="4" t="s">
        <v>44</v>
      </c>
      <c r="D10" s="6">
        <v>5500</v>
      </c>
      <c r="E10" s="70" t="s">
        <v>49</v>
      </c>
    </row>
    <row r="11" spans="1:18" ht="29.4" customHeight="1" x14ac:dyDescent="0.3">
      <c r="A11" s="69">
        <v>7</v>
      </c>
      <c r="B11" s="5" t="s">
        <v>41</v>
      </c>
      <c r="C11" s="4" t="s">
        <v>45</v>
      </c>
      <c r="D11" s="6">
        <v>8600</v>
      </c>
      <c r="E11" s="70" t="s">
        <v>50</v>
      </c>
    </row>
    <row r="12" spans="1:18" ht="29.4" customHeight="1" x14ac:dyDescent="0.3">
      <c r="A12" s="69">
        <v>8</v>
      </c>
      <c r="B12" s="5" t="s">
        <v>42</v>
      </c>
      <c r="C12" s="4" t="s">
        <v>46</v>
      </c>
      <c r="D12" s="6">
        <v>46000</v>
      </c>
      <c r="E12" s="70" t="s">
        <v>51</v>
      </c>
    </row>
    <row r="13" spans="1:18" ht="29.4" customHeight="1" x14ac:dyDescent="0.3">
      <c r="A13" s="69">
        <v>9</v>
      </c>
      <c r="B13" s="5" t="s">
        <v>39</v>
      </c>
      <c r="C13" s="4" t="s">
        <v>43</v>
      </c>
      <c r="D13" s="6">
        <v>7900</v>
      </c>
      <c r="E13" s="70" t="s">
        <v>48</v>
      </c>
    </row>
    <row r="14" spans="1:18" ht="29.4" customHeight="1" x14ac:dyDescent="0.3">
      <c r="A14" s="69">
        <v>10</v>
      </c>
      <c r="B14" s="5" t="s">
        <v>40</v>
      </c>
      <c r="C14" s="4" t="s">
        <v>44</v>
      </c>
      <c r="D14" s="6">
        <v>64000</v>
      </c>
      <c r="E14" s="70" t="s">
        <v>49</v>
      </c>
    </row>
    <row r="15" spans="1:18" ht="29.4" customHeight="1" x14ac:dyDescent="0.3">
      <c r="A15" s="69">
        <v>11</v>
      </c>
      <c r="B15" s="5" t="s">
        <v>41</v>
      </c>
      <c r="C15" s="4" t="s">
        <v>45</v>
      </c>
      <c r="D15" s="6">
        <v>4300</v>
      </c>
      <c r="E15" s="70" t="s">
        <v>50</v>
      </c>
    </row>
    <row r="16" spans="1:18" ht="29.4" customHeight="1" x14ac:dyDescent="0.3">
      <c r="A16" s="69">
        <v>12</v>
      </c>
      <c r="B16" s="5" t="s">
        <v>42</v>
      </c>
      <c r="C16" s="4" t="s">
        <v>46</v>
      </c>
      <c r="D16" s="6">
        <v>56000</v>
      </c>
      <c r="E16" s="70" t="s">
        <v>51</v>
      </c>
    </row>
    <row r="17" spans="1:5" ht="29.4" customHeight="1" x14ac:dyDescent="0.3">
      <c r="A17" s="69">
        <v>13</v>
      </c>
      <c r="B17" s="5" t="s">
        <v>39</v>
      </c>
      <c r="C17" s="4" t="s">
        <v>43</v>
      </c>
      <c r="D17" s="6">
        <v>90000</v>
      </c>
      <c r="E17" s="70" t="s">
        <v>48</v>
      </c>
    </row>
    <row r="18" spans="1:5" ht="29.4" customHeight="1" x14ac:dyDescent="0.3">
      <c r="A18" s="69">
        <v>14</v>
      </c>
      <c r="B18" s="5" t="s">
        <v>40</v>
      </c>
      <c r="C18" s="4" t="s">
        <v>44</v>
      </c>
      <c r="D18" s="6">
        <v>22000</v>
      </c>
      <c r="E18" s="70" t="s">
        <v>49</v>
      </c>
    </row>
    <row r="19" spans="1:5" ht="29.4" customHeight="1" x14ac:dyDescent="0.3">
      <c r="A19" s="69">
        <v>15</v>
      </c>
      <c r="B19" s="5" t="s">
        <v>41</v>
      </c>
      <c r="C19" s="4" t="s">
        <v>45</v>
      </c>
      <c r="D19" s="6">
        <v>1100</v>
      </c>
      <c r="E19" s="70" t="s">
        <v>50</v>
      </c>
    </row>
    <row r="20" spans="1:5" ht="29.4" customHeight="1" x14ac:dyDescent="0.3">
      <c r="A20" s="69">
        <v>16</v>
      </c>
      <c r="B20" s="5" t="s">
        <v>42</v>
      </c>
      <c r="C20" s="4" t="s">
        <v>46</v>
      </c>
      <c r="D20" s="6">
        <v>8600</v>
      </c>
      <c r="E20" s="70" t="s">
        <v>51</v>
      </c>
    </row>
    <row r="21" spans="1:5" ht="29.4" customHeight="1" x14ac:dyDescent="0.3">
      <c r="A21" s="69">
        <v>17</v>
      </c>
      <c r="B21" s="5" t="s">
        <v>39</v>
      </c>
      <c r="C21" s="4" t="s">
        <v>43</v>
      </c>
      <c r="D21" s="6">
        <v>9700</v>
      </c>
      <c r="E21" s="70" t="s">
        <v>48</v>
      </c>
    </row>
    <row r="22" spans="1:5" ht="29.4" customHeight="1" x14ac:dyDescent="0.3">
      <c r="A22" s="69">
        <v>18</v>
      </c>
      <c r="B22" s="5" t="s">
        <v>40</v>
      </c>
      <c r="C22" s="4" t="s">
        <v>44</v>
      </c>
      <c r="D22" s="6">
        <v>60000</v>
      </c>
      <c r="E22" s="70" t="s">
        <v>49</v>
      </c>
    </row>
    <row r="23" spans="1:5" ht="29.4" customHeight="1" x14ac:dyDescent="0.3">
      <c r="A23" s="69">
        <v>19</v>
      </c>
      <c r="B23" s="5" t="s">
        <v>41</v>
      </c>
      <c r="C23" s="4" t="s">
        <v>45</v>
      </c>
      <c r="D23" s="6">
        <v>40000</v>
      </c>
      <c r="E23" s="70" t="s">
        <v>50</v>
      </c>
    </row>
    <row r="24" spans="1:5" ht="29.4" customHeight="1" x14ac:dyDescent="0.3">
      <c r="A24" s="75">
        <v>20</v>
      </c>
      <c r="B24" s="76" t="s">
        <v>42</v>
      </c>
      <c r="C24" s="77" t="s">
        <v>46</v>
      </c>
      <c r="D24" s="78">
        <v>82000</v>
      </c>
      <c r="E24" s="79" t="s">
        <v>51</v>
      </c>
    </row>
  </sheetData>
  <mergeCells count="1">
    <mergeCell ref="E1:P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B022-5B1B-4D36-92C0-20FF637029D0}">
  <dimension ref="A1:O24"/>
  <sheetViews>
    <sheetView workbookViewId="0">
      <selection activeCell="A4" sqref="A4:F24"/>
    </sheetView>
  </sheetViews>
  <sheetFormatPr defaultRowHeight="14.4" x14ac:dyDescent="0.3"/>
  <cols>
    <col min="2" max="2" width="14.44140625" customWidth="1"/>
    <col min="4" max="4" width="9" customWidth="1"/>
    <col min="6" max="6" width="12" customWidth="1"/>
    <col min="12" max="12" width="10.6640625" customWidth="1"/>
  </cols>
  <sheetData>
    <row r="1" spans="1:15" x14ac:dyDescent="0.3">
      <c r="F1" s="12" t="s">
        <v>53</v>
      </c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"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5" x14ac:dyDescent="0.3">
      <c r="A4" s="82" t="s">
        <v>54</v>
      </c>
      <c r="B4" s="83" t="s">
        <v>55</v>
      </c>
      <c r="C4" s="83" t="s">
        <v>56</v>
      </c>
      <c r="D4" s="83" t="s">
        <v>57</v>
      </c>
      <c r="E4" s="83" t="s">
        <v>58</v>
      </c>
      <c r="F4" s="84" t="s">
        <v>59</v>
      </c>
    </row>
    <row r="5" spans="1:15" x14ac:dyDescent="0.3">
      <c r="A5" s="80">
        <v>1</v>
      </c>
      <c r="B5" s="7" t="s">
        <v>60</v>
      </c>
      <c r="C5" s="7">
        <v>78</v>
      </c>
      <c r="D5" s="7">
        <v>80</v>
      </c>
      <c r="E5" s="7">
        <v>74</v>
      </c>
      <c r="F5" s="81">
        <f>AVERAGE(C5:E5)</f>
        <v>77.333333333333329</v>
      </c>
    </row>
    <row r="6" spans="1:15" x14ac:dyDescent="0.3">
      <c r="A6" s="80">
        <v>2</v>
      </c>
      <c r="B6" s="7" t="s">
        <v>61</v>
      </c>
      <c r="C6" s="7">
        <v>65</v>
      </c>
      <c r="D6" s="7">
        <v>70</v>
      </c>
      <c r="E6" s="7">
        <v>68</v>
      </c>
      <c r="F6" s="81">
        <f t="shared" ref="F6:F24" si="0">AVERAGE(C6:E6)</f>
        <v>67.666666666666671</v>
      </c>
    </row>
    <row r="7" spans="1:15" x14ac:dyDescent="0.3">
      <c r="A7" s="80">
        <v>3</v>
      </c>
      <c r="B7" s="7" t="s">
        <v>62</v>
      </c>
      <c r="C7" s="7">
        <v>90</v>
      </c>
      <c r="D7" s="7">
        <v>88</v>
      </c>
      <c r="E7" s="7">
        <v>92</v>
      </c>
      <c r="F7" s="81">
        <f t="shared" si="0"/>
        <v>90</v>
      </c>
    </row>
    <row r="8" spans="1:15" ht="21" x14ac:dyDescent="0.4">
      <c r="A8" s="80">
        <v>4</v>
      </c>
      <c r="B8" s="7" t="s">
        <v>63</v>
      </c>
      <c r="C8" s="7">
        <v>35</v>
      </c>
      <c r="D8" s="7">
        <v>40</v>
      </c>
      <c r="E8" s="7">
        <v>38</v>
      </c>
      <c r="F8" s="81">
        <f t="shared" si="0"/>
        <v>37.666666666666664</v>
      </c>
      <c r="J8" s="50" t="s">
        <v>140</v>
      </c>
      <c r="K8" s="50"/>
      <c r="L8" s="50"/>
    </row>
    <row r="9" spans="1:15" x14ac:dyDescent="0.3">
      <c r="A9" s="80">
        <v>5</v>
      </c>
      <c r="B9" s="7" t="s">
        <v>64</v>
      </c>
      <c r="C9" s="7">
        <v>55</v>
      </c>
      <c r="D9" s="7">
        <v>60</v>
      </c>
      <c r="E9" s="7">
        <v>58</v>
      </c>
      <c r="F9" s="81">
        <f t="shared" si="0"/>
        <v>57.666666666666664</v>
      </c>
      <c r="J9" s="51" t="s">
        <v>173</v>
      </c>
      <c r="K9" s="51"/>
      <c r="L9" s="51"/>
    </row>
    <row r="10" spans="1:15" x14ac:dyDescent="0.3">
      <c r="A10" s="80">
        <v>6</v>
      </c>
      <c r="B10" s="7" t="s">
        <v>60</v>
      </c>
      <c r="C10" s="7">
        <f ca="1">RANDBETWEEN(40,100)</f>
        <v>45</v>
      </c>
      <c r="D10" s="7">
        <v>46</v>
      </c>
      <c r="E10" s="7">
        <f ca="1">RANDBETWEEN(40,100)</f>
        <v>66</v>
      </c>
      <c r="F10" s="81">
        <f t="shared" ca="1" si="0"/>
        <v>52.333333333333336</v>
      </c>
      <c r="J10" s="52" t="s">
        <v>174</v>
      </c>
      <c r="K10" s="52"/>
      <c r="L10" s="52"/>
    </row>
    <row r="11" spans="1:15" x14ac:dyDescent="0.3">
      <c r="A11" s="80">
        <v>7</v>
      </c>
      <c r="B11" s="7" t="s">
        <v>61</v>
      </c>
      <c r="C11" s="7">
        <f t="shared" ref="C11:C24" ca="1" si="1">RANDBETWEEN(40,100)</f>
        <v>45</v>
      </c>
      <c r="D11" s="7">
        <f t="shared" ref="D11:D24" ca="1" si="2">RANDBETWEEN(30,100)</f>
        <v>80</v>
      </c>
      <c r="E11" s="7">
        <f t="shared" ref="E11:E24" ca="1" si="3">RANDBETWEEN(40,100)</f>
        <v>83</v>
      </c>
      <c r="F11" s="81">
        <f t="shared" ca="1" si="0"/>
        <v>69.333333333333329</v>
      </c>
      <c r="J11" s="54" t="s">
        <v>175</v>
      </c>
      <c r="K11" s="54"/>
      <c r="L11" s="54"/>
    </row>
    <row r="12" spans="1:15" x14ac:dyDescent="0.3">
      <c r="A12" s="80">
        <v>8</v>
      </c>
      <c r="B12" s="7" t="s">
        <v>62</v>
      </c>
      <c r="C12" s="7">
        <f t="shared" ca="1" si="1"/>
        <v>69</v>
      </c>
      <c r="D12" s="7">
        <f t="shared" ca="1" si="2"/>
        <v>36</v>
      </c>
      <c r="E12" s="7">
        <f t="shared" ca="1" si="3"/>
        <v>59</v>
      </c>
      <c r="F12" s="81">
        <f t="shared" ca="1" si="0"/>
        <v>54.666666666666664</v>
      </c>
      <c r="J12" s="67"/>
      <c r="K12" s="67"/>
      <c r="L12" s="67"/>
    </row>
    <row r="13" spans="1:15" x14ac:dyDescent="0.3">
      <c r="A13" s="80">
        <v>9</v>
      </c>
      <c r="B13" s="7" t="s">
        <v>63</v>
      </c>
      <c r="C13" s="7">
        <f t="shared" ca="1" si="1"/>
        <v>56</v>
      </c>
      <c r="D13" s="7">
        <f t="shared" ca="1" si="2"/>
        <v>38</v>
      </c>
      <c r="E13" s="7">
        <f t="shared" ca="1" si="3"/>
        <v>78</v>
      </c>
      <c r="F13" s="81">
        <f t="shared" ca="1" si="0"/>
        <v>57.333333333333336</v>
      </c>
    </row>
    <row r="14" spans="1:15" x14ac:dyDescent="0.3">
      <c r="A14" s="80">
        <v>10</v>
      </c>
      <c r="B14" s="7" t="s">
        <v>64</v>
      </c>
      <c r="C14" s="7">
        <f t="shared" ca="1" si="1"/>
        <v>88</v>
      </c>
      <c r="D14" s="7">
        <f t="shared" ca="1" si="2"/>
        <v>35</v>
      </c>
      <c r="E14" s="7">
        <f t="shared" ca="1" si="3"/>
        <v>85</v>
      </c>
      <c r="F14" s="81">
        <f t="shared" ca="1" si="0"/>
        <v>69.333333333333329</v>
      </c>
    </row>
    <row r="15" spans="1:15" x14ac:dyDescent="0.3">
      <c r="A15" s="80">
        <v>11</v>
      </c>
      <c r="B15" s="7" t="s">
        <v>60</v>
      </c>
      <c r="C15" s="7">
        <f t="shared" ca="1" si="1"/>
        <v>57</v>
      </c>
      <c r="D15" s="7">
        <f t="shared" ca="1" si="2"/>
        <v>30</v>
      </c>
      <c r="E15" s="7">
        <f t="shared" ca="1" si="3"/>
        <v>53</v>
      </c>
      <c r="F15" s="81">
        <f t="shared" ca="1" si="0"/>
        <v>46.666666666666664</v>
      </c>
    </row>
    <row r="16" spans="1:15" x14ac:dyDescent="0.3">
      <c r="A16" s="80">
        <v>12</v>
      </c>
      <c r="B16" s="7" t="s">
        <v>61</v>
      </c>
      <c r="C16" s="7">
        <f t="shared" ca="1" si="1"/>
        <v>94</v>
      </c>
      <c r="D16" s="7">
        <f t="shared" ca="1" si="2"/>
        <v>98</v>
      </c>
      <c r="E16" s="7">
        <f t="shared" ca="1" si="3"/>
        <v>86</v>
      </c>
      <c r="F16" s="81">
        <f t="shared" ca="1" si="0"/>
        <v>92.666666666666671</v>
      </c>
    </row>
    <row r="17" spans="1:6" x14ac:dyDescent="0.3">
      <c r="A17" s="80">
        <v>13</v>
      </c>
      <c r="B17" s="7" t="s">
        <v>62</v>
      </c>
      <c r="C17" s="7">
        <f t="shared" ca="1" si="1"/>
        <v>74</v>
      </c>
      <c r="D17" s="7">
        <f t="shared" ca="1" si="2"/>
        <v>72</v>
      </c>
      <c r="E17" s="7">
        <f t="shared" ca="1" si="3"/>
        <v>80</v>
      </c>
      <c r="F17" s="81">
        <f t="shared" ca="1" si="0"/>
        <v>75.333333333333329</v>
      </c>
    </row>
    <row r="18" spans="1:6" x14ac:dyDescent="0.3">
      <c r="A18" s="80">
        <v>14</v>
      </c>
      <c r="B18" s="7" t="s">
        <v>63</v>
      </c>
      <c r="C18" s="7">
        <f t="shared" ca="1" si="1"/>
        <v>58</v>
      </c>
      <c r="D18" s="7">
        <f t="shared" ca="1" si="2"/>
        <v>84</v>
      </c>
      <c r="E18" s="7">
        <f t="shared" ca="1" si="3"/>
        <v>96</v>
      </c>
      <c r="F18" s="81">
        <f t="shared" ca="1" si="0"/>
        <v>79.333333333333329</v>
      </c>
    </row>
    <row r="19" spans="1:6" x14ac:dyDescent="0.3">
      <c r="A19" s="80">
        <v>15</v>
      </c>
      <c r="B19" s="7" t="s">
        <v>64</v>
      </c>
      <c r="C19" s="7">
        <f t="shared" ca="1" si="1"/>
        <v>85</v>
      </c>
      <c r="D19" s="7">
        <f t="shared" ca="1" si="2"/>
        <v>51</v>
      </c>
      <c r="E19" s="7">
        <f t="shared" ca="1" si="3"/>
        <v>73</v>
      </c>
      <c r="F19" s="81">
        <f t="shared" ca="1" si="0"/>
        <v>69.666666666666671</v>
      </c>
    </row>
    <row r="20" spans="1:6" x14ac:dyDescent="0.3">
      <c r="A20" s="80">
        <v>16</v>
      </c>
      <c r="B20" s="7" t="s">
        <v>60</v>
      </c>
      <c r="C20" s="7">
        <f t="shared" ca="1" si="1"/>
        <v>90</v>
      </c>
      <c r="D20" s="7">
        <f t="shared" ca="1" si="2"/>
        <v>99</v>
      </c>
      <c r="E20" s="7">
        <f t="shared" ca="1" si="3"/>
        <v>93</v>
      </c>
      <c r="F20" s="81">
        <f t="shared" ca="1" si="0"/>
        <v>94</v>
      </c>
    </row>
    <row r="21" spans="1:6" x14ac:dyDescent="0.3">
      <c r="A21" s="80">
        <v>17</v>
      </c>
      <c r="B21" s="7" t="s">
        <v>61</v>
      </c>
      <c r="C21" s="7">
        <f t="shared" ca="1" si="1"/>
        <v>97</v>
      </c>
      <c r="D21" s="7">
        <f t="shared" ca="1" si="2"/>
        <v>51</v>
      </c>
      <c r="E21" s="7">
        <f t="shared" ca="1" si="3"/>
        <v>64</v>
      </c>
      <c r="F21" s="81">
        <f t="shared" ca="1" si="0"/>
        <v>70.666666666666671</v>
      </c>
    </row>
    <row r="22" spans="1:6" x14ac:dyDescent="0.3">
      <c r="A22" s="80">
        <v>18</v>
      </c>
      <c r="B22" s="7" t="s">
        <v>62</v>
      </c>
      <c r="C22" s="7">
        <f t="shared" ca="1" si="1"/>
        <v>46</v>
      </c>
      <c r="D22" s="7">
        <f t="shared" ca="1" si="2"/>
        <v>47</v>
      </c>
      <c r="E22" s="7">
        <f t="shared" ca="1" si="3"/>
        <v>60</v>
      </c>
      <c r="F22" s="81">
        <f t="shared" ca="1" si="0"/>
        <v>51</v>
      </c>
    </row>
    <row r="23" spans="1:6" x14ac:dyDescent="0.3">
      <c r="A23" s="80">
        <v>19</v>
      </c>
      <c r="B23" s="7" t="s">
        <v>63</v>
      </c>
      <c r="C23" s="7">
        <f t="shared" ca="1" si="1"/>
        <v>46</v>
      </c>
      <c r="D23" s="7">
        <f t="shared" ca="1" si="2"/>
        <v>33</v>
      </c>
      <c r="E23" s="7">
        <f t="shared" ca="1" si="3"/>
        <v>98</v>
      </c>
      <c r="F23" s="81">
        <f t="shared" ca="1" si="0"/>
        <v>59</v>
      </c>
    </row>
    <row r="24" spans="1:6" x14ac:dyDescent="0.3">
      <c r="A24" s="85">
        <v>20</v>
      </c>
      <c r="B24" s="86" t="s">
        <v>64</v>
      </c>
      <c r="C24" s="86">
        <f t="shared" ca="1" si="1"/>
        <v>69</v>
      </c>
      <c r="D24" s="86">
        <f t="shared" ca="1" si="2"/>
        <v>40</v>
      </c>
      <c r="E24" s="86">
        <f t="shared" ca="1" si="3"/>
        <v>85</v>
      </c>
      <c r="F24" s="87">
        <f t="shared" ca="1" si="0"/>
        <v>64.666666666666671</v>
      </c>
    </row>
  </sheetData>
  <mergeCells count="3">
    <mergeCell ref="F1:O2"/>
    <mergeCell ref="J11:L11"/>
    <mergeCell ref="J12:L1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8144-18EB-4982-87D8-4BB6797EB085}">
  <dimension ref="A1:O24"/>
  <sheetViews>
    <sheetView topLeftCell="A4" workbookViewId="0">
      <selection activeCell="G22" sqref="G22"/>
    </sheetView>
  </sheetViews>
  <sheetFormatPr defaultRowHeight="14.4" x14ac:dyDescent="0.3"/>
  <cols>
    <col min="1" max="1" width="12.6640625" customWidth="1"/>
    <col min="2" max="2" width="13.44140625" customWidth="1"/>
    <col min="3" max="3" width="15.6640625" customWidth="1"/>
  </cols>
  <sheetData>
    <row r="1" spans="1:15" x14ac:dyDescent="0.3">
      <c r="G1" s="8" t="s">
        <v>65</v>
      </c>
      <c r="H1" s="9"/>
      <c r="I1" s="9"/>
      <c r="J1" s="9"/>
      <c r="K1" s="9"/>
      <c r="L1" s="9"/>
      <c r="M1" s="9"/>
      <c r="N1" s="9"/>
      <c r="O1" s="9"/>
    </row>
    <row r="2" spans="1:15" x14ac:dyDescent="0.3">
      <c r="G2" s="9"/>
      <c r="H2" s="9"/>
      <c r="I2" s="9"/>
      <c r="J2" s="9"/>
      <c r="K2" s="9"/>
      <c r="L2" s="9"/>
      <c r="M2" s="9"/>
      <c r="N2" s="9"/>
      <c r="O2" s="9"/>
    </row>
    <row r="4" spans="1:15" ht="15.6" x14ac:dyDescent="0.3">
      <c r="A4" s="91" t="s">
        <v>66</v>
      </c>
      <c r="B4" s="92" t="s">
        <v>67</v>
      </c>
      <c r="C4" s="93" t="s">
        <v>37</v>
      </c>
    </row>
    <row r="5" spans="1:15" ht="15" x14ac:dyDescent="0.3">
      <c r="A5" s="88" t="s">
        <v>68</v>
      </c>
      <c r="B5" s="15">
        <v>45292</v>
      </c>
      <c r="C5" s="90">
        <v>12500</v>
      </c>
    </row>
    <row r="6" spans="1:15" ht="15" x14ac:dyDescent="0.3">
      <c r="A6" s="89" t="s">
        <v>69</v>
      </c>
      <c r="B6" s="15">
        <v>45293</v>
      </c>
      <c r="C6" s="90">
        <v>25000</v>
      </c>
    </row>
    <row r="7" spans="1:15" ht="15" x14ac:dyDescent="0.3">
      <c r="A7" s="88" t="s">
        <v>70</v>
      </c>
      <c r="B7" s="15">
        <v>45294</v>
      </c>
      <c r="C7" s="90">
        <v>8000</v>
      </c>
      <c r="F7" s="68" t="s">
        <v>88</v>
      </c>
      <c r="G7" s="19">
        <f>SUM(C5:C24)</f>
        <v>550000</v>
      </c>
    </row>
    <row r="8" spans="1:15" ht="15" x14ac:dyDescent="0.3">
      <c r="A8" s="89" t="s">
        <v>71</v>
      </c>
      <c r="B8" s="15">
        <v>45295</v>
      </c>
      <c r="C8" s="90">
        <v>32000</v>
      </c>
      <c r="F8" s="68" t="s">
        <v>89</v>
      </c>
      <c r="G8" s="19">
        <f>AVERAGE(C5:C24)</f>
        <v>27500</v>
      </c>
    </row>
    <row r="9" spans="1:15" ht="15" x14ac:dyDescent="0.3">
      <c r="A9" s="88" t="s">
        <v>72</v>
      </c>
      <c r="B9" s="15">
        <v>45296</v>
      </c>
      <c r="C9" s="90">
        <v>15000</v>
      </c>
      <c r="F9" s="68" t="s">
        <v>90</v>
      </c>
      <c r="G9" s="19">
        <f>MAX(C5:C24)</f>
        <v>38900</v>
      </c>
    </row>
    <row r="10" spans="1:15" ht="15" x14ac:dyDescent="0.3">
      <c r="A10" s="89" t="s">
        <v>73</v>
      </c>
      <c r="B10" s="15">
        <v>45297</v>
      </c>
      <c r="C10" s="90">
        <v>22100</v>
      </c>
      <c r="F10" s="68" t="s">
        <v>91</v>
      </c>
      <c r="G10" s="19">
        <f>MIN(C5:C24)</f>
        <v>8000</v>
      </c>
    </row>
    <row r="11" spans="1:15" ht="15" x14ac:dyDescent="0.3">
      <c r="A11" s="88" t="s">
        <v>74</v>
      </c>
      <c r="B11" s="15">
        <v>45298</v>
      </c>
      <c r="C11" s="90">
        <v>23300</v>
      </c>
    </row>
    <row r="12" spans="1:15" ht="15" x14ac:dyDescent="0.3">
      <c r="A12" s="89" t="s">
        <v>75</v>
      </c>
      <c r="B12" s="15">
        <v>45299</v>
      </c>
      <c r="C12" s="90">
        <v>24500</v>
      </c>
    </row>
    <row r="13" spans="1:15" ht="15" x14ac:dyDescent="0.3">
      <c r="A13" s="88" t="s">
        <v>76</v>
      </c>
      <c r="B13" s="15">
        <v>45300</v>
      </c>
      <c r="C13" s="90">
        <v>25700</v>
      </c>
    </row>
    <row r="14" spans="1:15" ht="15" x14ac:dyDescent="0.3">
      <c r="A14" s="89" t="s">
        <v>77</v>
      </c>
      <c r="B14" s="15">
        <v>45301</v>
      </c>
      <c r="C14" s="90">
        <v>26900</v>
      </c>
    </row>
    <row r="15" spans="1:15" ht="15" x14ac:dyDescent="0.3">
      <c r="A15" s="88" t="s">
        <v>78</v>
      </c>
      <c r="B15" s="15">
        <v>45302</v>
      </c>
      <c r="C15" s="90">
        <v>28100</v>
      </c>
    </row>
    <row r="16" spans="1:15" ht="15" x14ac:dyDescent="0.3">
      <c r="A16" s="89" t="s">
        <v>79</v>
      </c>
      <c r="B16" s="15">
        <v>45303</v>
      </c>
      <c r="C16" s="90">
        <v>29300</v>
      </c>
    </row>
    <row r="17" spans="1:3" ht="15" x14ac:dyDescent="0.3">
      <c r="A17" s="88" t="s">
        <v>80</v>
      </c>
      <c r="B17" s="15">
        <v>45304</v>
      </c>
      <c r="C17" s="90">
        <v>30500</v>
      </c>
    </row>
    <row r="18" spans="1:3" ht="15" x14ac:dyDescent="0.3">
      <c r="A18" s="89" t="s">
        <v>81</v>
      </c>
      <c r="B18" s="15">
        <v>45305</v>
      </c>
      <c r="C18" s="90">
        <v>31700</v>
      </c>
    </row>
    <row r="19" spans="1:3" ht="15" x14ac:dyDescent="0.3">
      <c r="A19" s="88" t="s">
        <v>82</v>
      </c>
      <c r="B19" s="15">
        <v>45306</v>
      </c>
      <c r="C19" s="90">
        <v>32900</v>
      </c>
    </row>
    <row r="20" spans="1:3" ht="15" x14ac:dyDescent="0.3">
      <c r="A20" s="89" t="s">
        <v>83</v>
      </c>
      <c r="B20" s="15">
        <v>45307</v>
      </c>
      <c r="C20" s="90">
        <v>34100</v>
      </c>
    </row>
    <row r="21" spans="1:3" ht="15" x14ac:dyDescent="0.3">
      <c r="A21" s="88" t="s">
        <v>84</v>
      </c>
      <c r="B21" s="15">
        <v>45308</v>
      </c>
      <c r="C21" s="90">
        <v>35300</v>
      </c>
    </row>
    <row r="22" spans="1:3" ht="15" x14ac:dyDescent="0.3">
      <c r="A22" s="89" t="s">
        <v>85</v>
      </c>
      <c r="B22" s="15">
        <v>45309</v>
      </c>
      <c r="C22" s="90">
        <v>36500</v>
      </c>
    </row>
    <row r="23" spans="1:3" ht="15" x14ac:dyDescent="0.3">
      <c r="A23" s="88" t="s">
        <v>86</v>
      </c>
      <c r="B23" s="15">
        <v>45310</v>
      </c>
      <c r="C23" s="90">
        <v>37700</v>
      </c>
    </row>
    <row r="24" spans="1:3" ht="15" x14ac:dyDescent="0.3">
      <c r="A24" s="94" t="s">
        <v>87</v>
      </c>
      <c r="B24" s="95">
        <v>45311</v>
      </c>
      <c r="C24" s="96">
        <v>38900</v>
      </c>
    </row>
  </sheetData>
  <mergeCells count="1">
    <mergeCell ref="G1:O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0164-2F62-4C19-AA59-76898A9D7D57}">
  <dimension ref="A1:P26"/>
  <sheetViews>
    <sheetView topLeftCell="A3" workbookViewId="0">
      <selection activeCell="H13" sqref="H13"/>
    </sheetView>
  </sheetViews>
  <sheetFormatPr defaultRowHeight="14.4" x14ac:dyDescent="0.3"/>
  <cols>
    <col min="1" max="1" width="18.21875" customWidth="1"/>
    <col min="2" max="2" width="14.21875" customWidth="1"/>
    <col min="5" max="5" width="9.21875" customWidth="1"/>
  </cols>
  <sheetData>
    <row r="1" spans="1:16" x14ac:dyDescent="0.3">
      <c r="G1" s="16" t="s">
        <v>92</v>
      </c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3">
      <c r="G2" s="17"/>
      <c r="H2" s="17"/>
      <c r="I2" s="17"/>
      <c r="J2" s="17"/>
      <c r="K2" s="17"/>
      <c r="L2" s="17"/>
      <c r="M2" s="17"/>
      <c r="N2" s="17"/>
      <c r="O2" s="17"/>
      <c r="P2" s="17"/>
    </row>
    <row r="5" spans="1:16" ht="15" x14ac:dyDescent="0.35">
      <c r="A5" s="100" t="s">
        <v>93</v>
      </c>
      <c r="B5" s="101" t="s">
        <v>3</v>
      </c>
      <c r="C5" s="102" t="s">
        <v>4</v>
      </c>
    </row>
    <row r="6" spans="1:16" ht="15" x14ac:dyDescent="0.35">
      <c r="A6" s="97" t="s">
        <v>94</v>
      </c>
      <c r="B6" s="18" t="s">
        <v>7</v>
      </c>
      <c r="C6" s="98">
        <v>28000</v>
      </c>
    </row>
    <row r="7" spans="1:16" ht="15" x14ac:dyDescent="0.35">
      <c r="A7" s="97" t="s">
        <v>95</v>
      </c>
      <c r="B7" s="18" t="s">
        <v>8</v>
      </c>
      <c r="C7" s="98">
        <v>45000</v>
      </c>
      <c r="E7" s="20" t="s">
        <v>103</v>
      </c>
      <c r="F7" s="20"/>
      <c r="G7" s="20"/>
    </row>
    <row r="8" spans="1:16" ht="15" x14ac:dyDescent="0.35">
      <c r="A8" s="97" t="s">
        <v>96</v>
      </c>
      <c r="B8" s="18" t="s">
        <v>8</v>
      </c>
      <c r="C8" s="98">
        <v>50000</v>
      </c>
      <c r="E8" t="s">
        <v>100</v>
      </c>
      <c r="F8">
        <f ca="1">SUMIF($B$6:$B$26,B6,$C$6:$C$26)</f>
        <v>200284</v>
      </c>
    </row>
    <row r="9" spans="1:16" ht="15" x14ac:dyDescent="0.35">
      <c r="A9" s="97" t="s">
        <v>97</v>
      </c>
      <c r="B9" s="18" t="s">
        <v>10</v>
      </c>
      <c r="C9" s="98">
        <v>42000</v>
      </c>
      <c r="E9" t="s">
        <v>101</v>
      </c>
      <c r="F9">
        <f ca="1">SUMIF($B$6:$B$26,B7,$C$6:$C$26)</f>
        <v>206453</v>
      </c>
    </row>
    <row r="10" spans="1:16" ht="15" x14ac:dyDescent="0.35">
      <c r="A10" s="97" t="s">
        <v>98</v>
      </c>
      <c r="B10" s="18" t="s">
        <v>7</v>
      </c>
      <c r="C10" s="98">
        <v>30000</v>
      </c>
      <c r="E10" t="s">
        <v>102</v>
      </c>
      <c r="F10">
        <f ca="1">SUMIF($B$6:$B$26,B9,$C$6:$C$26)</f>
        <v>203159</v>
      </c>
    </row>
    <row r="11" spans="1:16" ht="15" x14ac:dyDescent="0.35">
      <c r="A11" s="97" t="s">
        <v>99</v>
      </c>
      <c r="B11" s="18" t="s">
        <v>10</v>
      </c>
      <c r="C11" s="98">
        <v>38000</v>
      </c>
    </row>
    <row r="12" spans="1:16" ht="15" customHeight="1" x14ac:dyDescent="0.35">
      <c r="A12" s="97" t="s">
        <v>94</v>
      </c>
      <c r="B12" s="18" t="s">
        <v>7</v>
      </c>
      <c r="C12" s="99">
        <f ca="1">RANDBETWEEN(15000,40000)</f>
        <v>27227</v>
      </c>
      <c r="E12" s="21" t="s">
        <v>104</v>
      </c>
      <c r="F12" s="21"/>
      <c r="G12" s="21"/>
    </row>
    <row r="13" spans="1:16" ht="15" x14ac:dyDescent="0.35">
      <c r="A13" s="97" t="s">
        <v>95</v>
      </c>
      <c r="B13" s="18" t="s">
        <v>8</v>
      </c>
      <c r="C13" s="99">
        <f t="shared" ref="C13:C26" ca="1" si="0">RANDBETWEEN(15000,40000)</f>
        <v>17436</v>
      </c>
      <c r="F13">
        <f ca="1">AVERAGE(C6:C26)</f>
        <v>29042.666666666668</v>
      </c>
    </row>
    <row r="14" spans="1:16" ht="15" x14ac:dyDescent="0.35">
      <c r="A14" s="97" t="s">
        <v>96</v>
      </c>
      <c r="B14" s="18" t="s">
        <v>8</v>
      </c>
      <c r="C14" s="99">
        <f t="shared" ca="1" si="0"/>
        <v>15458</v>
      </c>
    </row>
    <row r="15" spans="1:16" ht="15" x14ac:dyDescent="0.35">
      <c r="A15" s="97" t="s">
        <v>97</v>
      </c>
      <c r="B15" s="18" t="s">
        <v>10</v>
      </c>
      <c r="C15" s="99">
        <f t="shared" ca="1" si="0"/>
        <v>23449</v>
      </c>
      <c r="E15" s="20" t="s">
        <v>105</v>
      </c>
      <c r="F15" s="20"/>
      <c r="G15" s="20"/>
    </row>
    <row r="16" spans="1:16" ht="15" x14ac:dyDescent="0.35">
      <c r="A16" s="97" t="s">
        <v>98</v>
      </c>
      <c r="B16" s="18" t="s">
        <v>7</v>
      </c>
      <c r="C16" s="99">
        <f t="shared" ca="1" si="0"/>
        <v>33236</v>
      </c>
      <c r="F16">
        <f>COUNTA(A6:A26)</f>
        <v>21</v>
      </c>
    </row>
    <row r="17" spans="1:3" ht="15" x14ac:dyDescent="0.35">
      <c r="A17" s="97" t="s">
        <v>99</v>
      </c>
      <c r="B17" s="18" t="s">
        <v>10</v>
      </c>
      <c r="C17" s="99">
        <f t="shared" ca="1" si="0"/>
        <v>35192</v>
      </c>
    </row>
    <row r="18" spans="1:3" ht="15" x14ac:dyDescent="0.35">
      <c r="A18" s="97" t="s">
        <v>94</v>
      </c>
      <c r="B18" s="18" t="s">
        <v>7</v>
      </c>
      <c r="C18" s="99">
        <f t="shared" ca="1" si="0"/>
        <v>38600</v>
      </c>
    </row>
    <row r="19" spans="1:3" ht="15" x14ac:dyDescent="0.35">
      <c r="A19" s="97" t="s">
        <v>95</v>
      </c>
      <c r="B19" s="18" t="s">
        <v>8</v>
      </c>
      <c r="C19" s="99">
        <f t="shared" ca="1" si="0"/>
        <v>23694</v>
      </c>
    </row>
    <row r="20" spans="1:3" ht="15" x14ac:dyDescent="0.35">
      <c r="A20" s="97" t="s">
        <v>96</v>
      </c>
      <c r="B20" s="18" t="s">
        <v>8</v>
      </c>
      <c r="C20" s="99">
        <f t="shared" ca="1" si="0"/>
        <v>19540</v>
      </c>
    </row>
    <row r="21" spans="1:3" ht="15" x14ac:dyDescent="0.35">
      <c r="A21" s="97" t="s">
        <v>97</v>
      </c>
      <c r="B21" s="18" t="s">
        <v>10</v>
      </c>
      <c r="C21" s="99">
        <f t="shared" ca="1" si="0"/>
        <v>26474</v>
      </c>
    </row>
    <row r="22" spans="1:3" ht="15" x14ac:dyDescent="0.35">
      <c r="A22" s="97" t="s">
        <v>98</v>
      </c>
      <c r="B22" s="18" t="s">
        <v>7</v>
      </c>
      <c r="C22" s="99">
        <f t="shared" ca="1" si="0"/>
        <v>23183</v>
      </c>
    </row>
    <row r="23" spans="1:3" ht="15" x14ac:dyDescent="0.35">
      <c r="A23" s="97" t="s">
        <v>99</v>
      </c>
      <c r="B23" s="18" t="s">
        <v>10</v>
      </c>
      <c r="C23" s="99">
        <f t="shared" ca="1" si="0"/>
        <v>38044</v>
      </c>
    </row>
    <row r="24" spans="1:3" ht="15" x14ac:dyDescent="0.35">
      <c r="A24" s="97" t="s">
        <v>94</v>
      </c>
      <c r="B24" s="18" t="s">
        <v>7</v>
      </c>
      <c r="C24" s="99">
        <f t="shared" ca="1" si="0"/>
        <v>20038</v>
      </c>
    </row>
    <row r="25" spans="1:3" ht="15" x14ac:dyDescent="0.35">
      <c r="A25" s="97" t="s">
        <v>95</v>
      </c>
      <c r="B25" s="18" t="s">
        <v>8</v>
      </c>
      <c r="C25" s="99">
        <f t="shared" ca="1" si="0"/>
        <v>19987</v>
      </c>
    </row>
    <row r="26" spans="1:3" ht="15" x14ac:dyDescent="0.35">
      <c r="A26" s="103" t="s">
        <v>96</v>
      </c>
      <c r="B26" s="104" t="s">
        <v>8</v>
      </c>
      <c r="C26" s="105">
        <f t="shared" ca="1" si="0"/>
        <v>15338</v>
      </c>
    </row>
  </sheetData>
  <mergeCells count="4">
    <mergeCell ref="G1:P2"/>
    <mergeCell ref="E7:G7"/>
    <mergeCell ref="E12:G12"/>
    <mergeCell ref="E15:G1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E275-290F-45AC-93BD-374E07EB0CC7}">
  <dimension ref="A1:O24"/>
  <sheetViews>
    <sheetView topLeftCell="A3" workbookViewId="0">
      <selection activeCell="I16" sqref="I16"/>
    </sheetView>
  </sheetViews>
  <sheetFormatPr defaultRowHeight="14.4" x14ac:dyDescent="0.3"/>
  <cols>
    <col min="1" max="1" width="17.77734375" customWidth="1"/>
  </cols>
  <sheetData>
    <row r="1" spans="1:15" x14ac:dyDescent="0.3">
      <c r="H1" s="22" t="s">
        <v>106</v>
      </c>
      <c r="I1" s="23"/>
      <c r="J1" s="23"/>
      <c r="K1" s="23"/>
      <c r="L1" s="23"/>
      <c r="M1" s="23"/>
      <c r="N1" s="23"/>
      <c r="O1" s="23"/>
    </row>
    <row r="2" spans="1:15" x14ac:dyDescent="0.3">
      <c r="H2" s="23"/>
      <c r="I2" s="23"/>
      <c r="J2" s="23"/>
      <c r="K2" s="23"/>
      <c r="L2" s="23"/>
      <c r="M2" s="23"/>
      <c r="N2" s="23"/>
      <c r="O2" s="23"/>
    </row>
    <row r="4" spans="1:15" ht="18" x14ac:dyDescent="0.3">
      <c r="A4" s="108" t="s">
        <v>55</v>
      </c>
      <c r="B4" s="109" t="s">
        <v>107</v>
      </c>
      <c r="C4" s="109" t="s">
        <v>108</v>
      </c>
      <c r="D4" s="109" t="s">
        <v>109</v>
      </c>
      <c r="E4" s="109" t="s">
        <v>110</v>
      </c>
      <c r="F4" s="110" t="s">
        <v>111</v>
      </c>
    </row>
    <row r="5" spans="1:15" ht="15" x14ac:dyDescent="0.3">
      <c r="A5" s="106" t="s">
        <v>60</v>
      </c>
      <c r="B5" s="7" t="s">
        <v>112</v>
      </c>
      <c r="C5" s="7" t="s">
        <v>113</v>
      </c>
      <c r="D5" s="7" t="s">
        <v>112</v>
      </c>
      <c r="E5" s="7" t="s">
        <v>112</v>
      </c>
      <c r="F5" s="107" t="s">
        <v>112</v>
      </c>
    </row>
    <row r="6" spans="1:15" ht="15" x14ac:dyDescent="0.3">
      <c r="A6" s="106" t="s">
        <v>61</v>
      </c>
      <c r="B6" s="7" t="s">
        <v>112</v>
      </c>
      <c r="C6" s="7" t="s">
        <v>112</v>
      </c>
      <c r="D6" s="7" t="s">
        <v>112</v>
      </c>
      <c r="E6" s="7" t="s">
        <v>113</v>
      </c>
      <c r="F6" s="107" t="s">
        <v>112</v>
      </c>
    </row>
    <row r="7" spans="1:15" ht="15" x14ac:dyDescent="0.3">
      <c r="A7" s="106" t="s">
        <v>62</v>
      </c>
      <c r="B7" s="7" t="s">
        <v>113</v>
      </c>
      <c r="C7" s="7" t="s">
        <v>112</v>
      </c>
      <c r="D7" s="7" t="s">
        <v>112</v>
      </c>
      <c r="E7" s="7" t="s">
        <v>112</v>
      </c>
      <c r="F7" s="107" t="s">
        <v>112</v>
      </c>
      <c r="J7" s="25" t="s">
        <v>114</v>
      </c>
      <c r="K7">
        <f>COUNTIF(B5:F24,B5)</f>
        <v>70</v>
      </c>
    </row>
    <row r="8" spans="1:15" ht="15" x14ac:dyDescent="0.3">
      <c r="A8" s="106" t="s">
        <v>63</v>
      </c>
      <c r="B8" s="7" t="s">
        <v>112</v>
      </c>
      <c r="C8" s="7" t="s">
        <v>113</v>
      </c>
      <c r="D8" s="7" t="s">
        <v>113</v>
      </c>
      <c r="E8" s="7" t="s">
        <v>112</v>
      </c>
      <c r="F8" s="107" t="s">
        <v>113</v>
      </c>
      <c r="J8" s="24" t="s">
        <v>115</v>
      </c>
      <c r="K8">
        <f>COUNTIF(B5:F24,B7)</f>
        <v>30</v>
      </c>
    </row>
    <row r="9" spans="1:15" ht="15" x14ac:dyDescent="0.3">
      <c r="A9" s="106" t="s">
        <v>60</v>
      </c>
      <c r="B9" s="7" t="s">
        <v>112</v>
      </c>
      <c r="C9" s="7" t="s">
        <v>113</v>
      </c>
      <c r="D9" s="7" t="s">
        <v>112</v>
      </c>
      <c r="E9" s="7" t="s">
        <v>112</v>
      </c>
      <c r="F9" s="107" t="s">
        <v>112</v>
      </c>
    </row>
    <row r="10" spans="1:15" ht="15" x14ac:dyDescent="0.3">
      <c r="A10" s="106" t="s">
        <v>61</v>
      </c>
      <c r="B10" s="7" t="s">
        <v>112</v>
      </c>
      <c r="C10" s="7" t="s">
        <v>112</v>
      </c>
      <c r="D10" s="7" t="s">
        <v>112</v>
      </c>
      <c r="E10" s="7" t="s">
        <v>113</v>
      </c>
      <c r="F10" s="107" t="s">
        <v>112</v>
      </c>
    </row>
    <row r="11" spans="1:15" ht="15" x14ac:dyDescent="0.3">
      <c r="A11" s="106" t="s">
        <v>62</v>
      </c>
      <c r="B11" s="7" t="s">
        <v>113</v>
      </c>
      <c r="C11" s="7" t="s">
        <v>112</v>
      </c>
      <c r="D11" s="7" t="s">
        <v>112</v>
      </c>
      <c r="E11" s="7" t="s">
        <v>112</v>
      </c>
      <c r="F11" s="107" t="s">
        <v>112</v>
      </c>
    </row>
    <row r="12" spans="1:15" ht="15" x14ac:dyDescent="0.3">
      <c r="A12" s="106" t="s">
        <v>63</v>
      </c>
      <c r="B12" s="7" t="s">
        <v>112</v>
      </c>
      <c r="C12" s="7" t="s">
        <v>113</v>
      </c>
      <c r="D12" s="7" t="s">
        <v>113</v>
      </c>
      <c r="E12" s="7" t="s">
        <v>112</v>
      </c>
      <c r="F12" s="107" t="s">
        <v>113</v>
      </c>
    </row>
    <row r="13" spans="1:15" ht="15" x14ac:dyDescent="0.3">
      <c r="A13" s="106" t="s">
        <v>60</v>
      </c>
      <c r="B13" s="7" t="s">
        <v>112</v>
      </c>
      <c r="C13" s="7" t="s">
        <v>113</v>
      </c>
      <c r="D13" s="7" t="s">
        <v>112</v>
      </c>
      <c r="E13" s="7" t="s">
        <v>112</v>
      </c>
      <c r="F13" s="107" t="s">
        <v>112</v>
      </c>
    </row>
    <row r="14" spans="1:15" ht="15" x14ac:dyDescent="0.3">
      <c r="A14" s="106" t="s">
        <v>61</v>
      </c>
      <c r="B14" s="7" t="s">
        <v>112</v>
      </c>
      <c r="C14" s="7" t="s">
        <v>112</v>
      </c>
      <c r="D14" s="7" t="s">
        <v>112</v>
      </c>
      <c r="E14" s="7" t="s">
        <v>113</v>
      </c>
      <c r="F14" s="107" t="s">
        <v>112</v>
      </c>
    </row>
    <row r="15" spans="1:15" ht="15" x14ac:dyDescent="0.3">
      <c r="A15" s="106" t="s">
        <v>62</v>
      </c>
      <c r="B15" s="7" t="s">
        <v>113</v>
      </c>
      <c r="C15" s="7" t="s">
        <v>112</v>
      </c>
      <c r="D15" s="7" t="s">
        <v>112</v>
      </c>
      <c r="E15" s="7" t="s">
        <v>112</v>
      </c>
      <c r="F15" s="107" t="s">
        <v>112</v>
      </c>
    </row>
    <row r="16" spans="1:15" ht="15" x14ac:dyDescent="0.3">
      <c r="A16" s="106" t="s">
        <v>63</v>
      </c>
      <c r="B16" s="7" t="s">
        <v>112</v>
      </c>
      <c r="C16" s="7" t="s">
        <v>113</v>
      </c>
      <c r="D16" s="7" t="s">
        <v>113</v>
      </c>
      <c r="E16" s="7" t="s">
        <v>112</v>
      </c>
      <c r="F16" s="107" t="s">
        <v>113</v>
      </c>
    </row>
    <row r="17" spans="1:6" ht="15" x14ac:dyDescent="0.3">
      <c r="A17" s="106" t="s">
        <v>60</v>
      </c>
      <c r="B17" s="7" t="s">
        <v>112</v>
      </c>
      <c r="C17" s="7" t="s">
        <v>113</v>
      </c>
      <c r="D17" s="7" t="s">
        <v>112</v>
      </c>
      <c r="E17" s="7" t="s">
        <v>112</v>
      </c>
      <c r="F17" s="107" t="s">
        <v>112</v>
      </c>
    </row>
    <row r="18" spans="1:6" ht="15" x14ac:dyDescent="0.3">
      <c r="A18" s="106" t="s">
        <v>61</v>
      </c>
      <c r="B18" s="7" t="s">
        <v>112</v>
      </c>
      <c r="C18" s="7" t="s">
        <v>112</v>
      </c>
      <c r="D18" s="7" t="s">
        <v>112</v>
      </c>
      <c r="E18" s="7" t="s">
        <v>113</v>
      </c>
      <c r="F18" s="107" t="s">
        <v>112</v>
      </c>
    </row>
    <row r="19" spans="1:6" ht="15" x14ac:dyDescent="0.3">
      <c r="A19" s="106" t="s">
        <v>62</v>
      </c>
      <c r="B19" s="7" t="s">
        <v>113</v>
      </c>
      <c r="C19" s="7" t="s">
        <v>112</v>
      </c>
      <c r="D19" s="7" t="s">
        <v>112</v>
      </c>
      <c r="E19" s="7" t="s">
        <v>112</v>
      </c>
      <c r="F19" s="107" t="s">
        <v>112</v>
      </c>
    </row>
    <row r="20" spans="1:6" ht="15" x14ac:dyDescent="0.3">
      <c r="A20" s="106" t="s">
        <v>63</v>
      </c>
      <c r="B20" s="7" t="s">
        <v>112</v>
      </c>
      <c r="C20" s="7" t="s">
        <v>113</v>
      </c>
      <c r="D20" s="7" t="s">
        <v>113</v>
      </c>
      <c r="E20" s="7" t="s">
        <v>112</v>
      </c>
      <c r="F20" s="107" t="s">
        <v>113</v>
      </c>
    </row>
    <row r="21" spans="1:6" ht="15" x14ac:dyDescent="0.3">
      <c r="A21" s="106" t="s">
        <v>60</v>
      </c>
      <c r="B21" s="7" t="s">
        <v>112</v>
      </c>
      <c r="C21" s="7" t="s">
        <v>113</v>
      </c>
      <c r="D21" s="7" t="s">
        <v>112</v>
      </c>
      <c r="E21" s="7" t="s">
        <v>112</v>
      </c>
      <c r="F21" s="107" t="s">
        <v>112</v>
      </c>
    </row>
    <row r="22" spans="1:6" ht="15" x14ac:dyDescent="0.3">
      <c r="A22" s="106" t="s">
        <v>60</v>
      </c>
      <c r="B22" s="7" t="s">
        <v>112</v>
      </c>
      <c r="C22" s="7" t="s">
        <v>112</v>
      </c>
      <c r="D22" s="7" t="s">
        <v>112</v>
      </c>
      <c r="E22" s="7" t="s">
        <v>113</v>
      </c>
      <c r="F22" s="107" t="s">
        <v>112</v>
      </c>
    </row>
    <row r="23" spans="1:6" ht="15" x14ac:dyDescent="0.3">
      <c r="A23" s="106" t="s">
        <v>61</v>
      </c>
      <c r="B23" s="7" t="s">
        <v>113</v>
      </c>
      <c r="C23" s="7" t="s">
        <v>112</v>
      </c>
      <c r="D23" s="7" t="s">
        <v>112</v>
      </c>
      <c r="E23" s="7" t="s">
        <v>112</v>
      </c>
      <c r="F23" s="107" t="s">
        <v>112</v>
      </c>
    </row>
    <row r="24" spans="1:6" ht="15" x14ac:dyDescent="0.3">
      <c r="A24" s="111" t="s">
        <v>62</v>
      </c>
      <c r="B24" s="86" t="s">
        <v>112</v>
      </c>
      <c r="C24" s="86" t="s">
        <v>113</v>
      </c>
      <c r="D24" s="86" t="s">
        <v>113</v>
      </c>
      <c r="E24" s="86" t="s">
        <v>112</v>
      </c>
      <c r="F24" s="112" t="s">
        <v>113</v>
      </c>
    </row>
  </sheetData>
  <mergeCells count="1">
    <mergeCell ref="H1:O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F8E5-5C2E-423B-8ED2-0A563064FE7E}">
  <dimension ref="A1:O25"/>
  <sheetViews>
    <sheetView zoomScale="86" workbookViewId="0">
      <selection activeCell="F22" sqref="F22"/>
    </sheetView>
  </sheetViews>
  <sheetFormatPr defaultRowHeight="14.4" x14ac:dyDescent="0.3"/>
  <cols>
    <col min="1" max="1" width="12.88671875" customWidth="1"/>
    <col min="2" max="2" width="18.109375" customWidth="1"/>
    <col min="9" max="9" width="8.88671875" customWidth="1"/>
  </cols>
  <sheetData>
    <row r="1" spans="1:15" x14ac:dyDescent="0.3">
      <c r="G1" s="26" t="s">
        <v>116</v>
      </c>
      <c r="H1" s="27"/>
      <c r="I1" s="27"/>
      <c r="J1" s="27"/>
      <c r="K1" s="27"/>
      <c r="L1" s="27"/>
      <c r="M1" s="27"/>
      <c r="N1" s="27"/>
      <c r="O1" s="27"/>
    </row>
    <row r="2" spans="1:15" x14ac:dyDescent="0.3">
      <c r="G2" s="27"/>
      <c r="H2" s="27"/>
      <c r="I2" s="27"/>
      <c r="J2" s="27"/>
      <c r="K2" s="27"/>
      <c r="L2" s="27"/>
      <c r="M2" s="27"/>
      <c r="N2" s="27"/>
      <c r="O2" s="27"/>
    </row>
    <row r="5" spans="1:15" ht="16.8" x14ac:dyDescent="0.3">
      <c r="A5" s="44" t="s">
        <v>117</v>
      </c>
      <c r="B5" s="45" t="s">
        <v>37</v>
      </c>
    </row>
    <row r="6" spans="1:15" ht="15" x14ac:dyDescent="0.3">
      <c r="A6" s="46" t="s">
        <v>118</v>
      </c>
      <c r="B6" s="47">
        <v>4500</v>
      </c>
    </row>
    <row r="7" spans="1:15" ht="15" x14ac:dyDescent="0.3">
      <c r="A7" s="46" t="s">
        <v>119</v>
      </c>
      <c r="B7" s="47">
        <v>12000</v>
      </c>
    </row>
    <row r="8" spans="1:15" ht="15" customHeight="1" x14ac:dyDescent="0.4">
      <c r="A8" s="46" t="s">
        <v>120</v>
      </c>
      <c r="B8" s="47">
        <v>8000</v>
      </c>
      <c r="D8" s="19" t="s">
        <v>138</v>
      </c>
      <c r="E8" s="19">
        <f ca="1">COUNTIF(B6:B25,"&gt;10000")</f>
        <v>12</v>
      </c>
      <c r="I8" s="33" t="s">
        <v>140</v>
      </c>
      <c r="J8" s="33"/>
      <c r="K8" s="33"/>
      <c r="L8" s="29"/>
      <c r="M8" s="29"/>
    </row>
    <row r="9" spans="1:15" ht="15" customHeight="1" x14ac:dyDescent="0.3">
      <c r="A9" s="46" t="s">
        <v>121</v>
      </c>
      <c r="B9" s="47">
        <v>25000</v>
      </c>
      <c r="D9" s="19" t="s">
        <v>139</v>
      </c>
      <c r="E9" s="19">
        <f ca="1">COUNTIF(B6:B25,"&lt;5000")</f>
        <v>5</v>
      </c>
      <c r="I9" s="31" t="s">
        <v>141</v>
      </c>
      <c r="J9" s="31"/>
      <c r="K9" s="31"/>
      <c r="L9" s="30"/>
      <c r="M9" s="29"/>
    </row>
    <row r="10" spans="1:15" ht="15" customHeight="1" x14ac:dyDescent="0.3">
      <c r="A10" s="46" t="s">
        <v>122</v>
      </c>
      <c r="B10" s="47">
        <v>3000</v>
      </c>
      <c r="I10" s="32" t="s">
        <v>142</v>
      </c>
      <c r="J10" s="32"/>
      <c r="K10" s="32"/>
      <c r="L10" s="29"/>
      <c r="M10" s="29"/>
    </row>
    <row r="11" spans="1:15" ht="15" x14ac:dyDescent="0.3">
      <c r="A11" s="46" t="s">
        <v>123</v>
      </c>
      <c r="B11" s="47">
        <v>15000</v>
      </c>
    </row>
    <row r="12" spans="1:15" ht="15" x14ac:dyDescent="0.3">
      <c r="A12" s="46" t="s">
        <v>124</v>
      </c>
      <c r="B12" s="47">
        <f ca="1">RANDBETWEEN(3000,16000)</f>
        <v>14226</v>
      </c>
    </row>
    <row r="13" spans="1:15" ht="15" x14ac:dyDescent="0.3">
      <c r="A13" s="46" t="s">
        <v>125</v>
      </c>
      <c r="B13" s="47">
        <f t="shared" ref="B13:B25" ca="1" si="0">RANDBETWEEN(3000,16000)</f>
        <v>14199</v>
      </c>
    </row>
    <row r="14" spans="1:15" ht="15" x14ac:dyDescent="0.3">
      <c r="A14" s="46" t="s">
        <v>126</v>
      </c>
      <c r="B14" s="47">
        <f t="shared" ca="1" si="0"/>
        <v>4112</v>
      </c>
    </row>
    <row r="15" spans="1:15" ht="15" x14ac:dyDescent="0.3">
      <c r="A15" s="46" t="s">
        <v>127</v>
      </c>
      <c r="B15" s="47">
        <f t="shared" ca="1" si="0"/>
        <v>10116</v>
      </c>
    </row>
    <row r="16" spans="1:15" ht="15" x14ac:dyDescent="0.3">
      <c r="A16" s="46" t="s">
        <v>128</v>
      </c>
      <c r="B16" s="47">
        <f t="shared" ca="1" si="0"/>
        <v>8325</v>
      </c>
    </row>
    <row r="17" spans="1:2" ht="15" x14ac:dyDescent="0.3">
      <c r="A17" s="46" t="s">
        <v>129</v>
      </c>
      <c r="B17" s="47">
        <f t="shared" ca="1" si="0"/>
        <v>12959</v>
      </c>
    </row>
    <row r="18" spans="1:2" ht="15" x14ac:dyDescent="0.3">
      <c r="A18" s="46" t="s">
        <v>130</v>
      </c>
      <c r="B18" s="47">
        <f t="shared" ca="1" si="0"/>
        <v>11101</v>
      </c>
    </row>
    <row r="19" spans="1:2" ht="15" x14ac:dyDescent="0.3">
      <c r="A19" s="46" t="s">
        <v>131</v>
      </c>
      <c r="B19" s="47">
        <f t="shared" ca="1" si="0"/>
        <v>13965</v>
      </c>
    </row>
    <row r="20" spans="1:2" ht="15" x14ac:dyDescent="0.3">
      <c r="A20" s="46" t="s">
        <v>132</v>
      </c>
      <c r="B20" s="47">
        <f t="shared" ca="1" si="0"/>
        <v>3675</v>
      </c>
    </row>
    <row r="21" spans="1:2" ht="15" x14ac:dyDescent="0.3">
      <c r="A21" s="46" t="s">
        <v>133</v>
      </c>
      <c r="B21" s="47">
        <f t="shared" ca="1" si="0"/>
        <v>3444</v>
      </c>
    </row>
    <row r="22" spans="1:2" ht="15" x14ac:dyDescent="0.3">
      <c r="A22" s="46" t="s">
        <v>134</v>
      </c>
      <c r="B22" s="47">
        <f t="shared" ca="1" si="0"/>
        <v>14744</v>
      </c>
    </row>
    <row r="23" spans="1:2" ht="15" x14ac:dyDescent="0.3">
      <c r="A23" s="46" t="s">
        <v>135</v>
      </c>
      <c r="B23" s="47">
        <f t="shared" ca="1" si="0"/>
        <v>6718</v>
      </c>
    </row>
    <row r="24" spans="1:2" ht="15" x14ac:dyDescent="0.3">
      <c r="A24" s="46" t="s">
        <v>136</v>
      </c>
      <c r="B24" s="47">
        <f t="shared" ca="1" si="0"/>
        <v>12284</v>
      </c>
    </row>
    <row r="25" spans="1:2" ht="15" x14ac:dyDescent="0.3">
      <c r="A25" s="48" t="s">
        <v>137</v>
      </c>
      <c r="B25" s="49">
        <f t="shared" ca="1" si="0"/>
        <v>10749</v>
      </c>
    </row>
  </sheetData>
  <mergeCells count="2">
    <mergeCell ref="G1:O2"/>
    <mergeCell ref="I8:K8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49E9-4936-4A34-AE3E-FCEEF94AA9DC}">
  <dimension ref="A1:O25"/>
  <sheetViews>
    <sheetView topLeftCell="A2" zoomScale="90" zoomScaleNormal="90" workbookViewId="0">
      <selection activeCell="A5" sqref="A5:B25"/>
    </sheetView>
  </sheetViews>
  <sheetFormatPr defaultRowHeight="14.4" x14ac:dyDescent="0.3"/>
  <cols>
    <col min="1" max="1" width="15.44140625" customWidth="1"/>
    <col min="2" max="2" width="15.88671875" customWidth="1"/>
    <col min="9" max="9" width="10.77734375" customWidth="1"/>
  </cols>
  <sheetData>
    <row r="1" spans="1:15" x14ac:dyDescent="0.3">
      <c r="G1" s="39" t="s">
        <v>143</v>
      </c>
      <c r="H1" s="20"/>
      <c r="I1" s="20"/>
      <c r="J1" s="20"/>
      <c r="K1" s="20"/>
      <c r="L1" s="20"/>
      <c r="M1" s="20"/>
      <c r="N1" s="20"/>
      <c r="O1" s="20"/>
    </row>
    <row r="2" spans="1:15" x14ac:dyDescent="0.3">
      <c r="G2" s="20"/>
      <c r="H2" s="20"/>
      <c r="I2" s="20"/>
      <c r="J2" s="20"/>
      <c r="K2" s="20"/>
      <c r="L2" s="20"/>
      <c r="M2" s="20"/>
      <c r="N2" s="20"/>
      <c r="O2" s="20"/>
    </row>
    <row r="5" spans="1:15" ht="16.8" x14ac:dyDescent="0.3">
      <c r="A5" s="42" t="s">
        <v>144</v>
      </c>
      <c r="B5" s="43" t="s">
        <v>37</v>
      </c>
    </row>
    <row r="6" spans="1:15" ht="19.2" customHeight="1" x14ac:dyDescent="0.4">
      <c r="A6" s="35" t="s">
        <v>145</v>
      </c>
      <c r="B6" s="36">
        <v>22000</v>
      </c>
      <c r="G6" s="34" t="s">
        <v>140</v>
      </c>
      <c r="H6" s="34"/>
      <c r="I6" s="34"/>
    </row>
    <row r="7" spans="1:15" ht="13.8" customHeight="1" x14ac:dyDescent="0.3">
      <c r="A7" s="35" t="s">
        <v>146</v>
      </c>
      <c r="B7" s="36">
        <v>3500</v>
      </c>
      <c r="G7" s="31" t="s">
        <v>150</v>
      </c>
      <c r="H7" s="31"/>
      <c r="I7" s="31"/>
    </row>
    <row r="8" spans="1:15" ht="15" x14ac:dyDescent="0.3">
      <c r="A8" s="35" t="s">
        <v>147</v>
      </c>
      <c r="B8" s="36">
        <v>58000</v>
      </c>
      <c r="G8" s="32" t="s">
        <v>151</v>
      </c>
      <c r="H8" s="32"/>
      <c r="I8" s="32"/>
    </row>
    <row r="9" spans="1:15" ht="16.2" customHeight="1" x14ac:dyDescent="0.3">
      <c r="A9" s="35" t="s">
        <v>148</v>
      </c>
      <c r="B9" s="36">
        <v>1800</v>
      </c>
    </row>
    <row r="10" spans="1:15" ht="15" x14ac:dyDescent="0.3">
      <c r="A10" s="35" t="s">
        <v>149</v>
      </c>
      <c r="B10" s="36">
        <v>12000</v>
      </c>
    </row>
    <row r="11" spans="1:15" ht="15" x14ac:dyDescent="0.3">
      <c r="A11" s="35" t="s">
        <v>145</v>
      </c>
      <c r="B11" s="36">
        <v>12950</v>
      </c>
    </row>
    <row r="12" spans="1:15" ht="16.2" customHeight="1" x14ac:dyDescent="0.3">
      <c r="A12" s="35" t="s">
        <v>146</v>
      </c>
      <c r="B12" s="36">
        <v>10780</v>
      </c>
    </row>
    <row r="13" spans="1:15" ht="15" x14ac:dyDescent="0.3">
      <c r="A13" s="35" t="s">
        <v>145</v>
      </c>
      <c r="B13" s="36">
        <v>8610</v>
      </c>
    </row>
    <row r="14" spans="1:15" ht="18.600000000000001" customHeight="1" x14ac:dyDescent="0.3">
      <c r="A14" s="35" t="s">
        <v>146</v>
      </c>
      <c r="B14" s="36">
        <v>6440</v>
      </c>
    </row>
    <row r="15" spans="1:15" ht="15" x14ac:dyDescent="0.3">
      <c r="A15" s="35" t="s">
        <v>147</v>
      </c>
      <c r="B15" s="36">
        <v>64270</v>
      </c>
    </row>
    <row r="16" spans="1:15" ht="15" x14ac:dyDescent="0.3">
      <c r="A16" s="35" t="s">
        <v>145</v>
      </c>
      <c r="B16" s="36">
        <v>2100</v>
      </c>
    </row>
    <row r="17" spans="1:2" ht="16.8" customHeight="1" x14ac:dyDescent="0.3">
      <c r="A17" s="35" t="s">
        <v>146</v>
      </c>
      <c r="B17" s="36">
        <v>700</v>
      </c>
    </row>
    <row r="18" spans="1:2" ht="15" x14ac:dyDescent="0.3">
      <c r="A18" s="35" t="s">
        <v>147</v>
      </c>
      <c r="B18" s="36">
        <v>82240</v>
      </c>
    </row>
    <row r="19" spans="1:2" ht="18" customHeight="1" x14ac:dyDescent="0.3">
      <c r="A19" s="35" t="s">
        <v>148</v>
      </c>
      <c r="B19" s="36">
        <v>4410</v>
      </c>
    </row>
    <row r="20" spans="1:2" ht="15" x14ac:dyDescent="0.3">
      <c r="A20" s="35" t="s">
        <v>149</v>
      </c>
      <c r="B20" s="36">
        <v>6580</v>
      </c>
    </row>
    <row r="21" spans="1:2" ht="15" x14ac:dyDescent="0.3">
      <c r="A21" s="35" t="s">
        <v>145</v>
      </c>
      <c r="B21" s="36">
        <v>28750</v>
      </c>
    </row>
    <row r="22" spans="1:2" ht="13.8" customHeight="1" x14ac:dyDescent="0.3">
      <c r="A22" s="35" t="s">
        <v>146</v>
      </c>
      <c r="B22" s="36">
        <v>1092</v>
      </c>
    </row>
    <row r="23" spans="1:2" ht="15" x14ac:dyDescent="0.3">
      <c r="A23" s="35" t="s">
        <v>145</v>
      </c>
      <c r="B23" s="36">
        <v>33090</v>
      </c>
    </row>
    <row r="24" spans="1:2" ht="14.4" customHeight="1" x14ac:dyDescent="0.3">
      <c r="A24" s="35" t="s">
        <v>146</v>
      </c>
      <c r="B24" s="36">
        <v>1526</v>
      </c>
    </row>
    <row r="25" spans="1:2" ht="15" x14ac:dyDescent="0.3">
      <c r="A25" s="37" t="s">
        <v>147</v>
      </c>
      <c r="B25" s="38">
        <v>77430</v>
      </c>
    </row>
  </sheetData>
  <mergeCells count="1">
    <mergeCell ref="G1:O2"/>
  </mergeCells>
  <conditionalFormatting sqref="B6:B25">
    <cfRule type="cellIs" dxfId="64" priority="1" operator="lessThan">
      <formula>5000</formula>
    </cfRule>
    <cfRule type="cellIs" dxfId="63" priority="2" operator="greaterThan">
      <formula>20000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D8D3-D1B1-41CD-B097-E16E304409ED}">
  <dimension ref="A1:O25"/>
  <sheetViews>
    <sheetView topLeftCell="A4" workbookViewId="0">
      <selection activeCell="F22" sqref="F22"/>
    </sheetView>
  </sheetViews>
  <sheetFormatPr defaultRowHeight="14.4" x14ac:dyDescent="0.3"/>
  <cols>
    <col min="1" max="1" width="10.21875" customWidth="1"/>
  </cols>
  <sheetData>
    <row r="1" spans="1:15" x14ac:dyDescent="0.3">
      <c r="G1" s="40" t="s">
        <v>152</v>
      </c>
      <c r="H1" s="41"/>
      <c r="I1" s="41"/>
      <c r="J1" s="41"/>
      <c r="K1" s="41"/>
      <c r="L1" s="41"/>
      <c r="M1" s="41"/>
      <c r="N1" s="41"/>
      <c r="O1" s="41"/>
    </row>
    <row r="2" spans="1:15" x14ac:dyDescent="0.3">
      <c r="G2" s="41"/>
      <c r="H2" s="41"/>
      <c r="I2" s="41"/>
      <c r="J2" s="41"/>
      <c r="K2" s="41"/>
      <c r="L2" s="41"/>
      <c r="M2" s="41"/>
      <c r="N2" s="41"/>
      <c r="O2" s="41"/>
    </row>
    <row r="5" spans="1:15" ht="16.8" x14ac:dyDescent="0.3">
      <c r="A5" s="116" t="s">
        <v>54</v>
      </c>
      <c r="B5" s="117" t="s">
        <v>2</v>
      </c>
      <c r="C5" s="118" t="s">
        <v>153</v>
      </c>
    </row>
    <row r="6" spans="1:15" ht="15" x14ac:dyDescent="0.3">
      <c r="A6" s="113">
        <v>1</v>
      </c>
      <c r="B6" s="53" t="s">
        <v>98</v>
      </c>
      <c r="C6" s="114">
        <v>85</v>
      </c>
    </row>
    <row r="7" spans="1:15" ht="15" x14ac:dyDescent="0.3">
      <c r="A7" s="113">
        <v>2</v>
      </c>
      <c r="B7" s="53" t="s">
        <v>154</v>
      </c>
      <c r="C7" s="114">
        <v>72</v>
      </c>
    </row>
    <row r="8" spans="1:15" ht="15" x14ac:dyDescent="0.3">
      <c r="A8" s="113">
        <v>3</v>
      </c>
      <c r="B8" s="53" t="s">
        <v>155</v>
      </c>
      <c r="C8" s="114">
        <v>39</v>
      </c>
    </row>
    <row r="9" spans="1:15" ht="21" x14ac:dyDescent="0.4">
      <c r="A9" s="113">
        <v>4</v>
      </c>
      <c r="B9" s="53" t="s">
        <v>156</v>
      </c>
      <c r="C9" s="114">
        <v>91</v>
      </c>
      <c r="G9" s="50" t="s">
        <v>140</v>
      </c>
      <c r="H9" s="50"/>
      <c r="I9" s="50"/>
    </row>
    <row r="10" spans="1:15" ht="15" x14ac:dyDescent="0.3">
      <c r="A10" s="113">
        <v>5</v>
      </c>
      <c r="B10" s="53" t="s">
        <v>157</v>
      </c>
      <c r="C10" s="114">
        <v>28</v>
      </c>
      <c r="G10" s="51" t="s">
        <v>158</v>
      </c>
      <c r="H10" s="51"/>
      <c r="I10" s="51"/>
    </row>
    <row r="11" spans="1:15" ht="15" x14ac:dyDescent="0.3">
      <c r="A11" s="113">
        <v>6</v>
      </c>
      <c r="B11" s="53" t="s">
        <v>98</v>
      </c>
      <c r="C11" s="115">
        <f ca="1">RANDBETWEEN(25,90)</f>
        <v>78</v>
      </c>
      <c r="G11" s="52" t="s">
        <v>159</v>
      </c>
      <c r="H11" s="52"/>
      <c r="I11" s="52"/>
    </row>
    <row r="12" spans="1:15" ht="15" x14ac:dyDescent="0.3">
      <c r="A12" s="113">
        <v>7</v>
      </c>
      <c r="B12" s="53" t="s">
        <v>154</v>
      </c>
      <c r="C12" s="115">
        <f t="shared" ref="C12:C25" ca="1" si="0">RANDBETWEEN(25,90)</f>
        <v>48</v>
      </c>
    </row>
    <row r="13" spans="1:15" ht="15" x14ac:dyDescent="0.3">
      <c r="A13" s="113">
        <v>8</v>
      </c>
      <c r="B13" s="53" t="s">
        <v>155</v>
      </c>
      <c r="C13" s="115">
        <f t="shared" ca="1" si="0"/>
        <v>50</v>
      </c>
    </row>
    <row r="14" spans="1:15" ht="15" x14ac:dyDescent="0.3">
      <c r="A14" s="113">
        <v>9</v>
      </c>
      <c r="B14" s="53" t="s">
        <v>156</v>
      </c>
      <c r="C14" s="115">
        <f t="shared" ca="1" si="0"/>
        <v>68</v>
      </c>
    </row>
    <row r="15" spans="1:15" ht="15" x14ac:dyDescent="0.3">
      <c r="A15" s="113">
        <v>10</v>
      </c>
      <c r="B15" s="53" t="s">
        <v>157</v>
      </c>
      <c r="C15" s="115">
        <f t="shared" ca="1" si="0"/>
        <v>67</v>
      </c>
    </row>
    <row r="16" spans="1:15" ht="15" x14ac:dyDescent="0.3">
      <c r="A16" s="113">
        <v>11</v>
      </c>
      <c r="B16" s="53" t="s">
        <v>98</v>
      </c>
      <c r="C16" s="115">
        <f t="shared" ca="1" si="0"/>
        <v>39</v>
      </c>
    </row>
    <row r="17" spans="1:3" ht="15" x14ac:dyDescent="0.3">
      <c r="A17" s="113">
        <v>12</v>
      </c>
      <c r="B17" s="53" t="s">
        <v>154</v>
      </c>
      <c r="C17" s="115">
        <f t="shared" ca="1" si="0"/>
        <v>33</v>
      </c>
    </row>
    <row r="18" spans="1:3" ht="15" x14ac:dyDescent="0.3">
      <c r="A18" s="113">
        <v>13</v>
      </c>
      <c r="B18" s="53" t="s">
        <v>155</v>
      </c>
      <c r="C18" s="115">
        <f t="shared" ca="1" si="0"/>
        <v>44</v>
      </c>
    </row>
    <row r="19" spans="1:3" ht="15" x14ac:dyDescent="0.3">
      <c r="A19" s="113">
        <v>14</v>
      </c>
      <c r="B19" s="53" t="s">
        <v>156</v>
      </c>
      <c r="C19" s="115">
        <f t="shared" ca="1" si="0"/>
        <v>78</v>
      </c>
    </row>
    <row r="20" spans="1:3" ht="15" x14ac:dyDescent="0.3">
      <c r="A20" s="113">
        <v>15</v>
      </c>
      <c r="B20" s="53" t="s">
        <v>157</v>
      </c>
      <c r="C20" s="115">
        <f t="shared" ca="1" si="0"/>
        <v>82</v>
      </c>
    </row>
    <row r="21" spans="1:3" ht="15" x14ac:dyDescent="0.3">
      <c r="A21" s="113">
        <v>16</v>
      </c>
      <c r="B21" s="53" t="s">
        <v>98</v>
      </c>
      <c r="C21" s="115">
        <f t="shared" ca="1" si="0"/>
        <v>45</v>
      </c>
    </row>
    <row r="22" spans="1:3" ht="15" x14ac:dyDescent="0.3">
      <c r="A22" s="113">
        <v>17</v>
      </c>
      <c r="B22" s="53" t="s">
        <v>154</v>
      </c>
      <c r="C22" s="115">
        <f t="shared" ca="1" si="0"/>
        <v>39</v>
      </c>
    </row>
    <row r="23" spans="1:3" ht="15" x14ac:dyDescent="0.3">
      <c r="A23" s="113">
        <v>18</v>
      </c>
      <c r="B23" s="53" t="s">
        <v>155</v>
      </c>
      <c r="C23" s="115">
        <f t="shared" ca="1" si="0"/>
        <v>77</v>
      </c>
    </row>
    <row r="24" spans="1:3" ht="15" x14ac:dyDescent="0.3">
      <c r="A24" s="113">
        <v>19</v>
      </c>
      <c r="B24" s="53" t="s">
        <v>156</v>
      </c>
      <c r="C24" s="115">
        <f t="shared" ca="1" si="0"/>
        <v>50</v>
      </c>
    </row>
    <row r="25" spans="1:3" ht="15" x14ac:dyDescent="0.3">
      <c r="A25" s="119">
        <v>20</v>
      </c>
      <c r="B25" s="120" t="s">
        <v>157</v>
      </c>
      <c r="C25" s="121">
        <f t="shared" ca="1" si="0"/>
        <v>62</v>
      </c>
    </row>
  </sheetData>
  <mergeCells count="1">
    <mergeCell ref="G1:O2"/>
  </mergeCells>
  <conditionalFormatting sqref="C6:C25">
    <cfRule type="cellIs" dxfId="62" priority="1" operator="lessThan">
      <formula>40</formula>
    </cfRule>
    <cfRule type="cellIs" dxfId="61" priority="2" operator="greaterThan">
      <formula>75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280D-2A8E-4D18-8879-514778C17196}">
  <dimension ref="A1:O30"/>
  <sheetViews>
    <sheetView tabSelected="1" zoomScale="90" zoomScaleNormal="90" workbookViewId="0">
      <selection activeCell="D15" sqref="D15"/>
    </sheetView>
  </sheetViews>
  <sheetFormatPr defaultRowHeight="14.4" x14ac:dyDescent="0.3"/>
  <cols>
    <col min="1" max="1" width="19" customWidth="1"/>
    <col min="2" max="2" width="9" customWidth="1"/>
  </cols>
  <sheetData>
    <row r="1" spans="1:15" x14ac:dyDescent="0.3">
      <c r="G1" s="56" t="s">
        <v>160</v>
      </c>
      <c r="H1" s="56"/>
      <c r="I1" s="56"/>
      <c r="J1" s="56"/>
      <c r="K1" s="56"/>
      <c r="L1" s="56"/>
      <c r="M1" s="56"/>
      <c r="N1" s="56"/>
      <c r="O1" s="56"/>
    </row>
    <row r="2" spans="1:15" x14ac:dyDescent="0.3">
      <c r="G2" s="56"/>
      <c r="H2" s="56"/>
      <c r="I2" s="56"/>
      <c r="J2" s="56"/>
      <c r="K2" s="56"/>
      <c r="L2" s="56"/>
      <c r="M2" s="56"/>
      <c r="N2" s="56"/>
      <c r="O2" s="56"/>
    </row>
    <row r="5" spans="1:15" ht="16.8" x14ac:dyDescent="0.3">
      <c r="A5" s="124" t="s">
        <v>93</v>
      </c>
      <c r="B5" s="125" t="s">
        <v>4</v>
      </c>
    </row>
    <row r="6" spans="1:15" ht="15" x14ac:dyDescent="0.3">
      <c r="A6" s="122" t="s">
        <v>161</v>
      </c>
      <c r="B6" s="123">
        <v>28000</v>
      </c>
    </row>
    <row r="7" spans="1:15" ht="15" x14ac:dyDescent="0.3">
      <c r="A7" s="122" t="s">
        <v>162</v>
      </c>
      <c r="B7" s="123">
        <v>34000</v>
      </c>
    </row>
    <row r="8" spans="1:15" ht="21" x14ac:dyDescent="0.4">
      <c r="A8" s="122" t="s">
        <v>163</v>
      </c>
      <c r="B8" s="123">
        <v>51000</v>
      </c>
      <c r="F8" s="50" t="s">
        <v>140</v>
      </c>
      <c r="G8" s="50"/>
      <c r="H8" s="50"/>
    </row>
    <row r="9" spans="1:15" ht="15" x14ac:dyDescent="0.3">
      <c r="A9" s="122" t="s">
        <v>164</v>
      </c>
      <c r="B9" s="123">
        <v>47000</v>
      </c>
      <c r="F9" s="51" t="s">
        <v>168</v>
      </c>
      <c r="G9" s="51"/>
      <c r="H9" s="51"/>
    </row>
    <row r="10" spans="1:15" ht="15" x14ac:dyDescent="0.3">
      <c r="A10" s="122" t="s">
        <v>165</v>
      </c>
      <c r="B10" s="123">
        <v>29000</v>
      </c>
      <c r="F10" s="52" t="s">
        <v>166</v>
      </c>
      <c r="G10" s="52"/>
      <c r="H10" s="52"/>
    </row>
    <row r="11" spans="1:15" ht="15" x14ac:dyDescent="0.3">
      <c r="A11" s="122" t="s">
        <v>161</v>
      </c>
      <c r="B11" s="123">
        <v>42300</v>
      </c>
      <c r="F11" s="54" t="s">
        <v>167</v>
      </c>
      <c r="G11" s="54"/>
      <c r="H11" s="54"/>
    </row>
    <row r="12" spans="1:15" ht="15" x14ac:dyDescent="0.3">
      <c r="A12" s="122" t="s">
        <v>162</v>
      </c>
      <c r="B12" s="123">
        <v>43800</v>
      </c>
    </row>
    <row r="13" spans="1:15" ht="15" x14ac:dyDescent="0.3">
      <c r="A13" s="122" t="s">
        <v>163</v>
      </c>
      <c r="B13" s="123">
        <v>57213</v>
      </c>
    </row>
    <row r="14" spans="1:15" ht="15" x14ac:dyDescent="0.3">
      <c r="A14" s="122" t="s">
        <v>164</v>
      </c>
      <c r="B14" s="123">
        <v>46800</v>
      </c>
    </row>
    <row r="15" spans="1:15" ht="15" x14ac:dyDescent="0.3">
      <c r="A15" s="122" t="s">
        <v>165</v>
      </c>
      <c r="B15" s="123">
        <v>11000</v>
      </c>
    </row>
    <row r="16" spans="1:15" ht="15" x14ac:dyDescent="0.3">
      <c r="A16" s="122" t="s">
        <v>161</v>
      </c>
      <c r="B16" s="123">
        <v>49800</v>
      </c>
    </row>
    <row r="17" spans="1:2" ht="15" x14ac:dyDescent="0.3">
      <c r="A17" s="122" t="s">
        <v>162</v>
      </c>
      <c r="B17" s="123">
        <v>51300</v>
      </c>
    </row>
    <row r="18" spans="1:2" ht="15" x14ac:dyDescent="0.3">
      <c r="A18" s="122" t="s">
        <v>161</v>
      </c>
      <c r="B18" s="123">
        <v>52800</v>
      </c>
    </row>
    <row r="19" spans="1:2" ht="15" x14ac:dyDescent="0.3">
      <c r="A19" s="122" t="s">
        <v>162</v>
      </c>
      <c r="B19" s="123">
        <v>26000</v>
      </c>
    </row>
    <row r="20" spans="1:2" ht="15" x14ac:dyDescent="0.3">
      <c r="A20" s="122" t="s">
        <v>163</v>
      </c>
      <c r="B20" s="123">
        <v>55800</v>
      </c>
    </row>
    <row r="21" spans="1:2" ht="15" x14ac:dyDescent="0.3">
      <c r="A21" s="122" t="s">
        <v>164</v>
      </c>
      <c r="B21" s="123">
        <v>40000</v>
      </c>
    </row>
    <row r="22" spans="1:2" ht="15" x14ac:dyDescent="0.3">
      <c r="A22" s="122" t="s">
        <v>165</v>
      </c>
      <c r="B22" s="123">
        <v>21000</v>
      </c>
    </row>
    <row r="23" spans="1:2" ht="15" x14ac:dyDescent="0.3">
      <c r="A23" s="122" t="s">
        <v>161</v>
      </c>
      <c r="B23" s="123">
        <v>60300</v>
      </c>
    </row>
    <row r="24" spans="1:2" ht="15" x14ac:dyDescent="0.3">
      <c r="A24" s="122" t="s">
        <v>161</v>
      </c>
      <c r="B24" s="123">
        <v>19003</v>
      </c>
    </row>
    <row r="25" spans="1:2" ht="15" x14ac:dyDescent="0.3">
      <c r="A25" s="126" t="s">
        <v>162</v>
      </c>
      <c r="B25" s="127">
        <v>63300</v>
      </c>
    </row>
    <row r="26" spans="1:2" ht="15.6" thickBot="1" x14ac:dyDescent="0.35">
      <c r="A26" s="55"/>
    </row>
    <row r="27" spans="1:2" ht="15.6" thickBot="1" x14ac:dyDescent="0.35">
      <c r="A27" s="28"/>
    </row>
    <row r="28" spans="1:2" ht="15.6" thickBot="1" x14ac:dyDescent="0.35">
      <c r="A28" s="14"/>
    </row>
    <row r="29" spans="1:2" ht="15.6" thickBot="1" x14ac:dyDescent="0.35">
      <c r="A29" s="28"/>
    </row>
    <row r="30" spans="1:2" ht="15.6" thickBot="1" x14ac:dyDescent="0.35">
      <c r="A30" s="14"/>
    </row>
  </sheetData>
  <mergeCells count="2">
    <mergeCell ref="G1:O2"/>
    <mergeCell ref="F11:H11"/>
  </mergeCells>
  <conditionalFormatting sqref="B6:B25">
    <cfRule type="cellIs" dxfId="60" priority="1" operator="lessThan">
      <formula>30000</formula>
    </cfRule>
    <cfRule type="cellIs" dxfId="59" priority="2" operator="between">
      <formula>30000</formula>
      <formula>49999</formula>
    </cfRule>
    <cfRule type="cellIs" dxfId="58" priority="3" operator="greaterThan">
      <formula>50000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neelpanchal2003@outlook.com</dc:creator>
  <cp:lastModifiedBy>neelpanchal2003@outlook.com</cp:lastModifiedBy>
  <dcterms:created xsi:type="dcterms:W3CDTF">2026-06-23T12:53:39Z</dcterms:created>
  <dcterms:modified xsi:type="dcterms:W3CDTF">2026-06-27T10:32:51Z</dcterms:modified>
</cp:coreProperties>
</file>